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\Kniha-Power-BI\Text knihy\Materialy\K02\"/>
    </mc:Choice>
  </mc:AlternateContent>
  <xr:revisionPtr revIDLastSave="0" documentId="13_ncr:1_{639B2A00-8586-4928-BC3E-126E10338461}" xr6:coauthVersionLast="47" xr6:coauthVersionMax="47" xr10:uidLastSave="{00000000-0000-0000-0000-000000000000}"/>
  <bookViews>
    <workbookView xWindow="-110" yWindow="-110" windowWidth="19420" windowHeight="11500" xr2:uid="{8028F9B2-8D8D-4739-9FDC-7955A79A1535}"/>
  </bookViews>
  <sheets>
    <sheet name="Zakaznici" sheetId="1" r:id="rId1"/>
    <sheet name="Další list viditelný" sheetId="2" r:id="rId2"/>
  </sheets>
  <definedNames>
    <definedName name="_xlnm._FilterDatabase" localSheetId="0" hidden="1">Zakaznici!$A$4:$M$165</definedName>
    <definedName name="EUR_CZK">#REF!</definedName>
    <definedName name="Pavel_Lasák">'Další list viditelný'!$C$5</definedName>
    <definedName name="USD_CZ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2" i="1" l="1" a="1"/>
  <c r="N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<sst xmlns="http://schemas.openxmlformats.org/spreadsheetml/2006/main" count="1293" uniqueCount="665">
  <si>
    <t>ZakID</t>
  </si>
  <si>
    <t>Jmeno</t>
  </si>
  <si>
    <t>Prijmeni</t>
  </si>
  <si>
    <t>Pohlavi</t>
  </si>
  <si>
    <t>Telefon</t>
  </si>
  <si>
    <t>Email</t>
  </si>
  <si>
    <t>DatNarozeni</t>
  </si>
  <si>
    <t>DatumReg</t>
  </si>
  <si>
    <t>Mesto</t>
  </si>
  <si>
    <t>Kraj</t>
  </si>
  <si>
    <t>Sirka</t>
  </si>
  <si>
    <t>Delka</t>
  </si>
  <si>
    <t>Z1</t>
  </si>
  <si>
    <t>Jan</t>
  </si>
  <si>
    <t>Novák</t>
  </si>
  <si>
    <t>M</t>
  </si>
  <si>
    <t>+420 605 556 763</t>
  </si>
  <si>
    <t>jan.novak@email.cz</t>
  </si>
  <si>
    <t>Praha</t>
  </si>
  <si>
    <t>Z2</t>
  </si>
  <si>
    <t>Pavel</t>
  </si>
  <si>
    <t>Lasák</t>
  </si>
  <si>
    <t>+420 724 988 659</t>
  </si>
  <si>
    <t>pavel.lasak@email.cz</t>
  </si>
  <si>
    <t>Brno</t>
  </si>
  <si>
    <t>Jihomoravský</t>
  </si>
  <si>
    <t>Z3</t>
  </si>
  <si>
    <t>Jana</t>
  </si>
  <si>
    <t>Nováková</t>
  </si>
  <si>
    <t>F</t>
  </si>
  <si>
    <t>+420 777 882 590</t>
  </si>
  <si>
    <t>jana.novakova@email.cz</t>
  </si>
  <si>
    <t>Z4</t>
  </si>
  <si>
    <t>Petra</t>
  </si>
  <si>
    <t>Svobodová</t>
  </si>
  <si>
    <t>+420 774 176 951</t>
  </si>
  <si>
    <t>petra.svobodova@email.cz</t>
  </si>
  <si>
    <t>Z5</t>
  </si>
  <si>
    <t>Marie</t>
  </si>
  <si>
    <t>Hrdá</t>
  </si>
  <si>
    <t>+420 607 850 651</t>
  </si>
  <si>
    <t>marie.hrda@email.cz</t>
  </si>
  <si>
    <t>Ostrava</t>
  </si>
  <si>
    <t>Moravskoslezský</t>
  </si>
  <si>
    <t>Z6</t>
  </si>
  <si>
    <t>Anna</t>
  </si>
  <si>
    <t>Procházková</t>
  </si>
  <si>
    <t>+420 603 624 276</t>
  </si>
  <si>
    <t>anna.prochazkova@email.cz</t>
  </si>
  <si>
    <t>Plzeň</t>
  </si>
  <si>
    <t>Plzeňský</t>
  </si>
  <si>
    <t>Z7</t>
  </si>
  <si>
    <t>Tomáš</t>
  </si>
  <si>
    <t>Dvořák</t>
  </si>
  <si>
    <t>+420 602 851 219</t>
  </si>
  <si>
    <t>tomas.dvorak@email.cz</t>
  </si>
  <si>
    <t>Hradec Králové</t>
  </si>
  <si>
    <t>Královéhradecký</t>
  </si>
  <si>
    <t>Z8</t>
  </si>
  <si>
    <t>Lucie</t>
  </si>
  <si>
    <t>Králová</t>
  </si>
  <si>
    <t>+420 604 314 549</t>
  </si>
  <si>
    <t>lucie.kralova@email.cz</t>
  </si>
  <si>
    <t>Z9</t>
  </si>
  <si>
    <t>Karel</t>
  </si>
  <si>
    <t>Havlíček</t>
  </si>
  <si>
    <t>+420 737 867 614</t>
  </si>
  <si>
    <t>karel.havlicek@email.cz</t>
  </si>
  <si>
    <t>Olomouc</t>
  </si>
  <si>
    <t>Olomoucký</t>
  </si>
  <si>
    <t>Z10</t>
  </si>
  <si>
    <t>Eva</t>
  </si>
  <si>
    <t>Malá</t>
  </si>
  <si>
    <t>+420 606 716 174</t>
  </si>
  <si>
    <t>eva.mala@email.cz</t>
  </si>
  <si>
    <t>České Budějovice</t>
  </si>
  <si>
    <t>Jihočeský</t>
  </si>
  <si>
    <t>Z11</t>
  </si>
  <si>
    <t>Josef</t>
  </si>
  <si>
    <t>Kupec</t>
  </si>
  <si>
    <t>+420 731 798 523</t>
  </si>
  <si>
    <t>josef.kupec@email.cz</t>
  </si>
  <si>
    <t>Zlín</t>
  </si>
  <si>
    <t>Zlínský</t>
  </si>
  <si>
    <t>Z12</t>
  </si>
  <si>
    <t>Monika</t>
  </si>
  <si>
    <t>Šťastná</t>
  </si>
  <si>
    <t>+420 603 512 648</t>
  </si>
  <si>
    <t>monika.stastna@email.cz</t>
  </si>
  <si>
    <t>Ústí nad Labem</t>
  </si>
  <si>
    <t>Ústecký</t>
  </si>
  <si>
    <t>Z13</t>
  </si>
  <si>
    <t>Alžběta</t>
  </si>
  <si>
    <t>Žlutá</t>
  </si>
  <si>
    <t>+420 776 627 825</t>
  </si>
  <si>
    <t>alzbeta.zluta@email.cz</t>
  </si>
  <si>
    <t>Z14</t>
  </si>
  <si>
    <t>Zimová</t>
  </si>
  <si>
    <t>+420 774 848 160</t>
  </si>
  <si>
    <t>alzbeta.zimova@email.cz</t>
  </si>
  <si>
    <t>Z15</t>
  </si>
  <si>
    <t>Chechtavý</t>
  </si>
  <si>
    <t>+420 702 421 920</t>
  </si>
  <si>
    <t>jan.chechtavy@email.cz</t>
  </si>
  <si>
    <t>Z16</t>
  </si>
  <si>
    <t>Iva</t>
  </si>
  <si>
    <t>Chcetavá</t>
  </si>
  <si>
    <t>+420 604 521 306</t>
  </si>
  <si>
    <t>iva.chcetava@email.cz</t>
  </si>
  <si>
    <t>Z17</t>
  </si>
  <si>
    <t>Roman</t>
  </si>
  <si>
    <t>Černý</t>
  </si>
  <si>
    <t>+420 737 146 972</t>
  </si>
  <si>
    <t>roman.cerny@email.cz</t>
  </si>
  <si>
    <t>Z18</t>
  </si>
  <si>
    <t>Petr</t>
  </si>
  <si>
    <t>+420 732 896 698</t>
  </si>
  <si>
    <t>petr.cerny@email.cz</t>
  </si>
  <si>
    <t>Z19</t>
  </si>
  <si>
    <t>+420 724 234 147</t>
  </si>
  <si>
    <t>petr.cerny2@email.cz</t>
  </si>
  <si>
    <t>Z20</t>
  </si>
  <si>
    <t>Emil</t>
  </si>
  <si>
    <t>+420 737 751 391</t>
  </si>
  <si>
    <t>emil.novak@email.cz</t>
  </si>
  <si>
    <t>Z21</t>
  </si>
  <si>
    <t>Hodný</t>
  </si>
  <si>
    <t>+420 724 167 768</t>
  </si>
  <si>
    <t>karel.hodny@email.cz</t>
  </si>
  <si>
    <t>Karlovy Vary</t>
  </si>
  <si>
    <t>Karlovarský</t>
  </si>
  <si>
    <t>Z22</t>
  </si>
  <si>
    <t>Luboš</t>
  </si>
  <si>
    <t>Iterový</t>
  </si>
  <si>
    <t>+420 724 859 710</t>
  </si>
  <si>
    <t>lubos.iterovy@email.cz</t>
  </si>
  <si>
    <t>Telč</t>
  </si>
  <si>
    <t>Vysočina</t>
  </si>
  <si>
    <t>Z23</t>
  </si>
  <si>
    <t>Žan</t>
  </si>
  <si>
    <t>Ženatý</t>
  </si>
  <si>
    <t>+420 737 495 366</t>
  </si>
  <si>
    <t>zan.zenaty@email.cz</t>
  </si>
  <si>
    <t>Kutná Hora</t>
  </si>
  <si>
    <t>Středočeský</t>
  </si>
  <si>
    <t>Z24</t>
  </si>
  <si>
    <t>Ludmila</t>
  </si>
  <si>
    <t>Berková</t>
  </si>
  <si>
    <t>+420 732 299 484</t>
  </si>
  <si>
    <t>ludmila.berkova@email.cz</t>
  </si>
  <si>
    <t>Liberec</t>
  </si>
  <si>
    <t>Liberecký</t>
  </si>
  <si>
    <t>Z25</t>
  </si>
  <si>
    <t>Lenka</t>
  </si>
  <si>
    <t>Stará</t>
  </si>
  <si>
    <t>+420 606 194 450</t>
  </si>
  <si>
    <t>lenka.stara@email.cz</t>
  </si>
  <si>
    <t>Pardubice</t>
  </si>
  <si>
    <t>Pardubický</t>
  </si>
  <si>
    <t>Z26</t>
  </si>
  <si>
    <t>Beta</t>
  </si>
  <si>
    <t>+420 739 694 788</t>
  </si>
  <si>
    <t>beta.novakova@email.cz</t>
  </si>
  <si>
    <t>Litoměřice</t>
  </si>
  <si>
    <t>Z27</t>
  </si>
  <si>
    <t>Adam</t>
  </si>
  <si>
    <t>Adamec</t>
  </si>
  <si>
    <t>+420 776 138 469</t>
  </si>
  <si>
    <t>adam.adamec@email.cz</t>
  </si>
  <si>
    <t>Kroměříž</t>
  </si>
  <si>
    <t>Z28</t>
  </si>
  <si>
    <t>Ondřej</t>
  </si>
  <si>
    <t>Horák</t>
  </si>
  <si>
    <t>+420 602 393 183</t>
  </si>
  <si>
    <t>ondrej.horak@email.cz</t>
  </si>
  <si>
    <t>Z29</t>
  </si>
  <si>
    <t>Kovářová</t>
  </si>
  <si>
    <t>+420 603 985 896</t>
  </si>
  <si>
    <t>monika.kovarova@email.cz</t>
  </si>
  <si>
    <t>Z30</t>
  </si>
  <si>
    <t>Černá</t>
  </si>
  <si>
    <t>+420 736 237 360</t>
  </si>
  <si>
    <t>jana.cerna@email.cz</t>
  </si>
  <si>
    <t>Z31</t>
  </si>
  <si>
    <t>Eliška</t>
  </si>
  <si>
    <t>Bartošová</t>
  </si>
  <si>
    <t>+420 602 445 574</t>
  </si>
  <si>
    <t>eliska.bartosova@email.cz</t>
  </si>
  <si>
    <t>Z32</t>
  </si>
  <si>
    <t>Blažková</t>
  </si>
  <si>
    <t>+420 603 667 895</t>
  </si>
  <si>
    <t>anna.blazkova@email.cz</t>
  </si>
  <si>
    <t>Z33</t>
  </si>
  <si>
    <t>Jakub</t>
  </si>
  <si>
    <t>Doležal</t>
  </si>
  <si>
    <t>+420 604 569 869</t>
  </si>
  <si>
    <t>jakub.dolezal@email.cz</t>
  </si>
  <si>
    <t>Z34</t>
  </si>
  <si>
    <t>Dvořáková</t>
  </si>
  <si>
    <t>+420 604 693 877</t>
  </si>
  <si>
    <t>anna.dvorakova@email.cz</t>
  </si>
  <si>
    <t>Z35</t>
  </si>
  <si>
    <t>Kristýna</t>
  </si>
  <si>
    <t>Čermáková</t>
  </si>
  <si>
    <t>+420 606 995 101</t>
  </si>
  <si>
    <t>kristyna.cermakova@email.cz</t>
  </si>
  <si>
    <t>Z36</t>
  </si>
  <si>
    <t>Martina</t>
  </si>
  <si>
    <t>Vaňková</t>
  </si>
  <si>
    <t>+420 732 700 789</t>
  </si>
  <si>
    <t>martina.vankova@email.cz</t>
  </si>
  <si>
    <t>Z37</t>
  </si>
  <si>
    <t>Aleš</t>
  </si>
  <si>
    <t>Kříž</t>
  </si>
  <si>
    <t>+420 606 421 814</t>
  </si>
  <si>
    <t>ales.kriz@email.cz</t>
  </si>
  <si>
    <t>Z38</t>
  </si>
  <si>
    <t>Král</t>
  </si>
  <si>
    <t>+420 605 796 999</t>
  </si>
  <si>
    <t>jan.kral@email.cz</t>
  </si>
  <si>
    <t>Z39</t>
  </si>
  <si>
    <t>Němcová</t>
  </si>
  <si>
    <t>+420 702 181 535</t>
  </si>
  <si>
    <t>petra.nemcova@email.cz</t>
  </si>
  <si>
    <t>Z40</t>
  </si>
  <si>
    <t>Radek</t>
  </si>
  <si>
    <t>Beneš</t>
  </si>
  <si>
    <t>+420 739 841 869</t>
  </si>
  <si>
    <t>radek.benes@email.cz</t>
  </si>
  <si>
    <t>Z41</t>
  </si>
  <si>
    <t>Pokorná</t>
  </si>
  <si>
    <t>+420 737 103 657</t>
  </si>
  <si>
    <t>anna.pokorna@email.cz</t>
  </si>
  <si>
    <t>Z42</t>
  </si>
  <si>
    <t>Klára</t>
  </si>
  <si>
    <t>Jelínková</t>
  </si>
  <si>
    <t>+420 775 454 443</t>
  </si>
  <si>
    <t>klara.jelinkova@email.cz</t>
  </si>
  <si>
    <t>Jihlava</t>
  </si>
  <si>
    <t>Z43</t>
  </si>
  <si>
    <t>Jiří</t>
  </si>
  <si>
    <t>Pospíšil</t>
  </si>
  <si>
    <t>+420 606 240 943</t>
  </si>
  <si>
    <t>jiri.pospisil@email.cz</t>
  </si>
  <si>
    <t>Z44</t>
  </si>
  <si>
    <t>Zdeněk</t>
  </si>
  <si>
    <t>Pokorný</t>
  </si>
  <si>
    <t>+420 777 271 966</t>
  </si>
  <si>
    <t>zdenek.pokorny@email.cz</t>
  </si>
  <si>
    <t>Z45</t>
  </si>
  <si>
    <t>Růžička</t>
  </si>
  <si>
    <t>+420 607 294 423</t>
  </si>
  <si>
    <t>zdenek.ruzicka@email.cz</t>
  </si>
  <si>
    <t>Z46</t>
  </si>
  <si>
    <t>Markéta</t>
  </si>
  <si>
    <t>Vlčková</t>
  </si>
  <si>
    <t>+420 732 401 105</t>
  </si>
  <si>
    <t>marketa.vlckova@email.cz</t>
  </si>
  <si>
    <t>Mladá Boleslav</t>
  </si>
  <si>
    <t>Z47</t>
  </si>
  <si>
    <t>Vojtěch</t>
  </si>
  <si>
    <t>+420 603 203 969</t>
  </si>
  <si>
    <t>vojtech.cerny@email.cz</t>
  </si>
  <si>
    <t>Z48</t>
  </si>
  <si>
    <t>Němec</t>
  </si>
  <si>
    <t>+420 604 313 414</t>
  </si>
  <si>
    <t>jiri.nemec@email.cz</t>
  </si>
  <si>
    <t>Z49</t>
  </si>
  <si>
    <t>+420 731 781 103</t>
  </si>
  <si>
    <t>lenka.vlckova@email.cz</t>
  </si>
  <si>
    <t>Z50</t>
  </si>
  <si>
    <t>Zuzana</t>
  </si>
  <si>
    <t>+420 606 434 351</t>
  </si>
  <si>
    <t>zuzana.pokorna@email.cz</t>
  </si>
  <si>
    <t>Z51</t>
  </si>
  <si>
    <t>+420 604 730 501</t>
  </si>
  <si>
    <t>anna.vlckova@email.cz</t>
  </si>
  <si>
    <t>Z52</t>
  </si>
  <si>
    <t>Kovář</t>
  </si>
  <si>
    <t>+420 702 632 189</t>
  </si>
  <si>
    <t>jan.kovar@email.cz</t>
  </si>
  <si>
    <t>Z53</t>
  </si>
  <si>
    <t>Simona</t>
  </si>
  <si>
    <t>+420 723 942 163</t>
  </si>
  <si>
    <t>simona.cerna@email.cz</t>
  </si>
  <si>
    <t>Teplice</t>
  </si>
  <si>
    <t>Z54</t>
  </si>
  <si>
    <t>Kučera</t>
  </si>
  <si>
    <t>+420 776 125 444</t>
  </si>
  <si>
    <t>jiri.kucera@email.cz</t>
  </si>
  <si>
    <t>Z55</t>
  </si>
  <si>
    <t>Ivana</t>
  </si>
  <si>
    <t>+420 732 557 412</t>
  </si>
  <si>
    <t>ivana.svobodova@email.cz</t>
  </si>
  <si>
    <t>Z56</t>
  </si>
  <si>
    <t>+420 723 358 294</t>
  </si>
  <si>
    <t>josef.pokorny@email.cz</t>
  </si>
  <si>
    <t>Znojmo</t>
  </si>
  <si>
    <t>Z57</t>
  </si>
  <si>
    <t>Hana</t>
  </si>
  <si>
    <t>Horáková</t>
  </si>
  <si>
    <t>+420 731 573 472</t>
  </si>
  <si>
    <t>hana.horakova@email.cz</t>
  </si>
  <si>
    <t>Z58</t>
  </si>
  <si>
    <t>Michaela</t>
  </si>
  <si>
    <t>Marková</t>
  </si>
  <si>
    <t>+420 702 220 196</t>
  </si>
  <si>
    <t>michaela.markova@email.cz</t>
  </si>
  <si>
    <t>Z59</t>
  </si>
  <si>
    <t>+420 602 468 907</t>
  </si>
  <si>
    <t>lenka.markova@email.cz</t>
  </si>
  <si>
    <t>Z60</t>
  </si>
  <si>
    <t>Marek</t>
  </si>
  <si>
    <t>+420 608 215 767</t>
  </si>
  <si>
    <t>marek.marek@email.cz</t>
  </si>
  <si>
    <t>Z61</t>
  </si>
  <si>
    <t>+420 606 875 127</t>
  </si>
  <si>
    <t>klara.markova@email.cz</t>
  </si>
  <si>
    <t>Kladno</t>
  </si>
  <si>
    <t>Z62</t>
  </si>
  <si>
    <t>Zeman</t>
  </si>
  <si>
    <t>+420 604 474 637</t>
  </si>
  <si>
    <t>roman.zeman@email.cz</t>
  </si>
  <si>
    <t>Z63</t>
  </si>
  <si>
    <t>+420 737 370 525</t>
  </si>
  <si>
    <t>monika.cerna@email.cz</t>
  </si>
  <si>
    <t>Z64</t>
  </si>
  <si>
    <t>+420 607 164 546</t>
  </si>
  <si>
    <t>lenka.vankova@email.cz</t>
  </si>
  <si>
    <t>Z65</t>
  </si>
  <si>
    <t>+420 603 296 888</t>
  </si>
  <si>
    <t>ales.kriz2@email.cz</t>
  </si>
  <si>
    <t>Z66</t>
  </si>
  <si>
    <t>Pospíšilová</t>
  </si>
  <si>
    <t>+420 777 665 755</t>
  </si>
  <si>
    <t>marketa.pospisilova@email.cz</t>
  </si>
  <si>
    <t>Z67</t>
  </si>
  <si>
    <t>Michal</t>
  </si>
  <si>
    <t>+420 606 434 873</t>
  </si>
  <si>
    <t>michal.kral@email.cz</t>
  </si>
  <si>
    <t>Z68</t>
  </si>
  <si>
    <t>+420 702 772 333</t>
  </si>
  <si>
    <t>radek.pokorny@email.cz</t>
  </si>
  <si>
    <t>Z69</t>
  </si>
  <si>
    <t>Filip</t>
  </si>
  <si>
    <t>+420 603 799 980</t>
  </si>
  <si>
    <t>filip.cerny@email.cz</t>
  </si>
  <si>
    <t>Z70</t>
  </si>
  <si>
    <t>+420 739 110 145</t>
  </si>
  <si>
    <t>josef.nemec@email.cz</t>
  </si>
  <si>
    <t>Tábor</t>
  </si>
  <si>
    <t>Z71</t>
  </si>
  <si>
    <t>Doležalová</t>
  </si>
  <si>
    <t>+420 608 424 786</t>
  </si>
  <si>
    <t>jana.dolezalova@email.cz</t>
  </si>
  <si>
    <t>Z72</t>
  </si>
  <si>
    <t>Barbora</t>
  </si>
  <si>
    <t>+420 777 575 524</t>
  </si>
  <si>
    <t>barbora.horakova@email.cz</t>
  </si>
  <si>
    <t>Z73</t>
  </si>
  <si>
    <t>Lukáš</t>
  </si>
  <si>
    <t>Vlček</t>
  </si>
  <si>
    <t>+420 603 800 398</t>
  </si>
  <si>
    <t>lukas.vlcek@email.cz</t>
  </si>
  <si>
    <t>Z74</t>
  </si>
  <si>
    <t>+420 737 156 563</t>
  </si>
  <si>
    <t>monika.bartosova@email.cz</t>
  </si>
  <si>
    <t>Z75</t>
  </si>
  <si>
    <t>+420 736 542 759</t>
  </si>
  <si>
    <t>tomas.kucera@email.cz</t>
  </si>
  <si>
    <t>Z76</t>
  </si>
  <si>
    <t>+420 776 795 806</t>
  </si>
  <si>
    <t>eliska.svobodova@email.cz</t>
  </si>
  <si>
    <t>Z77</t>
  </si>
  <si>
    <t>+420 739 706 432</t>
  </si>
  <si>
    <t>ales.dolezal@email.cz</t>
  </si>
  <si>
    <t>Z78</t>
  </si>
  <si>
    <t>Svoboda</t>
  </si>
  <si>
    <t>+420 604 925 488</t>
  </si>
  <si>
    <t>filip.svoboda@email.cz</t>
  </si>
  <si>
    <t>Z79</t>
  </si>
  <si>
    <t>+420 603 148 878</t>
  </si>
  <si>
    <t>radek.horak@email.cz</t>
  </si>
  <si>
    <t>Z80</t>
  </si>
  <si>
    <t>Procházka</t>
  </si>
  <si>
    <t>+420 606 235 133</t>
  </si>
  <si>
    <t>tomas.prochazka@email.cz</t>
  </si>
  <si>
    <t>Cheb</t>
  </si>
  <si>
    <t>Z81</t>
  </si>
  <si>
    <t>Kolář</t>
  </si>
  <si>
    <t>+420 603 427 101</t>
  </si>
  <si>
    <t>jiri.kolar@email.cz</t>
  </si>
  <si>
    <t>Z82</t>
  </si>
  <si>
    <t>+420 724 847 422</t>
  </si>
  <si>
    <t>barbora.kralova@email.cz</t>
  </si>
  <si>
    <t>Z83</t>
  </si>
  <si>
    <t>Fiala</t>
  </si>
  <si>
    <t>+420 732 831 944</t>
  </si>
  <si>
    <t>ondrej.fiala@email.cz</t>
  </si>
  <si>
    <t>Z84</t>
  </si>
  <si>
    <t>Tereza</t>
  </si>
  <si>
    <t>+420 603 244 540</t>
  </si>
  <si>
    <t>tereza.pospisilova@email.cz</t>
  </si>
  <si>
    <t>Z85</t>
  </si>
  <si>
    <t>+420 777 861 561</t>
  </si>
  <si>
    <t>zdenek.kriz@email.cz</t>
  </si>
  <si>
    <t>Z86</t>
  </si>
  <si>
    <t>Benešová</t>
  </si>
  <si>
    <t>+420 731 582 894</t>
  </si>
  <si>
    <t>kristyna.benesova@email.cz</t>
  </si>
  <si>
    <t>Z87</t>
  </si>
  <si>
    <t>Veronika</t>
  </si>
  <si>
    <t>+420 607 753 888</t>
  </si>
  <si>
    <t>veronika.horakova@email.cz</t>
  </si>
  <si>
    <t>Z88</t>
  </si>
  <si>
    <t>+420 603 348 444</t>
  </si>
  <si>
    <t>ivana.vankova@email.cz</t>
  </si>
  <si>
    <t>Trutnov</t>
  </si>
  <si>
    <t>Z89</t>
  </si>
  <si>
    <t>+420 608 862 826</t>
  </si>
  <si>
    <t>veronika.benesova@email.cz</t>
  </si>
  <si>
    <t>Z90</t>
  </si>
  <si>
    <t>Urbanová</t>
  </si>
  <si>
    <t>+420 736 549 541</t>
  </si>
  <si>
    <t>petra.urbanova@email.cz</t>
  </si>
  <si>
    <t>Z91</t>
  </si>
  <si>
    <t>+420 739 685 698</t>
  </si>
  <si>
    <t>eliska.cerna@email.cz</t>
  </si>
  <si>
    <t>Z92</t>
  </si>
  <si>
    <t>+420 775 379 254</t>
  </si>
  <si>
    <t>kristyna.prochazkova@email.cz</t>
  </si>
  <si>
    <t>Z93</t>
  </si>
  <si>
    <t>Martin</t>
  </si>
  <si>
    <t>+420 777 356 805</t>
  </si>
  <si>
    <t>martin.pospisil@email.cz</t>
  </si>
  <si>
    <t>Z94</t>
  </si>
  <si>
    <t>+420 723 398 982</t>
  </si>
  <si>
    <t>ondrej.kovar@email.cz</t>
  </si>
  <si>
    <t>Z95</t>
  </si>
  <si>
    <t>+420 723 996 213</t>
  </si>
  <si>
    <t>klara.svobodova@email.cz</t>
  </si>
  <si>
    <t>Z96</t>
  </si>
  <si>
    <t>Hájková</t>
  </si>
  <si>
    <t>+420 731 938 986</t>
  </si>
  <si>
    <t>hana.hajkova@email.cz</t>
  </si>
  <si>
    <t>Z97</t>
  </si>
  <si>
    <t>+420 775 651 873</t>
  </si>
  <si>
    <t>ivana.nemcova@email.cz</t>
  </si>
  <si>
    <t>Z98</t>
  </si>
  <si>
    <t>Navrátil</t>
  </si>
  <si>
    <t>+420 732 874 210</t>
  </si>
  <si>
    <t>filip.navratil@email.cz</t>
  </si>
  <si>
    <t>Z99</t>
  </si>
  <si>
    <t>+420 723 588 268</t>
  </si>
  <si>
    <t>barbora.urbanova@email.cz</t>
  </si>
  <si>
    <t>Z100</t>
  </si>
  <si>
    <t>+420 736 500 242</t>
  </si>
  <si>
    <t>lenka.horakova@email.cz</t>
  </si>
  <si>
    <t>Prostějov</t>
  </si>
  <si>
    <t>Z101</t>
  </si>
  <si>
    <t>+420 608 456 897</t>
  </si>
  <si>
    <t>josef.dvorak@email.cz</t>
  </si>
  <si>
    <t>Z102</t>
  </si>
  <si>
    <t>+420 737 697 570</t>
  </si>
  <si>
    <t>tereza.hajkova@email.cz</t>
  </si>
  <si>
    <t>Z103</t>
  </si>
  <si>
    <t>+420 731 868 572</t>
  </si>
  <si>
    <t>hana.jelinkova@email.cz</t>
  </si>
  <si>
    <t>Z104</t>
  </si>
  <si>
    <t>Milan</t>
  </si>
  <si>
    <t>+420 775 315 924</t>
  </si>
  <si>
    <t>milan.pokorny@email.cz</t>
  </si>
  <si>
    <t>Z105</t>
  </si>
  <si>
    <t>+420 739 715 106</t>
  </si>
  <si>
    <t>josef.dolezal@email.cz</t>
  </si>
  <si>
    <t>Z106</t>
  </si>
  <si>
    <t>Navrátilová</t>
  </si>
  <si>
    <t>+420 736 131 898</t>
  </si>
  <si>
    <t>martina.navratilova@email.cz</t>
  </si>
  <si>
    <t>Z107</t>
  </si>
  <si>
    <t>+420 737 105 770</t>
  </si>
  <si>
    <t>zdenek.vlcek@email.cz</t>
  </si>
  <si>
    <t>Z108</t>
  </si>
  <si>
    <t>+420 604 591 565</t>
  </si>
  <si>
    <t>petra.jelinkova@email.cz</t>
  </si>
  <si>
    <t>Z109</t>
  </si>
  <si>
    <t>+420 724 118 266</t>
  </si>
  <si>
    <t>kristyna.kovarova@email.cz</t>
  </si>
  <si>
    <t>Z110</t>
  </si>
  <si>
    <t>+420 774 712 223</t>
  </si>
  <si>
    <t>lukas.kral@email.cz</t>
  </si>
  <si>
    <t>Z111</t>
  </si>
  <si>
    <t>+420 732 621 521</t>
  </si>
  <si>
    <t>zuzana.kralova@email.cz</t>
  </si>
  <si>
    <t>Z112</t>
  </si>
  <si>
    <t>Fialová</t>
  </si>
  <si>
    <t>+420 602 448 518</t>
  </si>
  <si>
    <t>veronika.fialova@email.cz</t>
  </si>
  <si>
    <t>Z113</t>
  </si>
  <si>
    <t>Čermák</t>
  </si>
  <si>
    <t>+420 702 236 503</t>
  </si>
  <si>
    <t>pavel.cermak@email.cz</t>
  </si>
  <si>
    <t>Z114</t>
  </si>
  <si>
    <t>+420 724 686 189</t>
  </si>
  <si>
    <t>petr.prochazka@email.cz</t>
  </si>
  <si>
    <t>Z115</t>
  </si>
  <si>
    <t>+420 724 200 980</t>
  </si>
  <si>
    <t>michaela.prochazkova@email.cz</t>
  </si>
  <si>
    <t>Z116</t>
  </si>
  <si>
    <t>Růžičková</t>
  </si>
  <si>
    <t>+420 605 875 623</t>
  </si>
  <si>
    <t>marketa.ruzickova@email.cz</t>
  </si>
  <si>
    <t>Z117</t>
  </si>
  <si>
    <t>+420 775 800 186</t>
  </si>
  <si>
    <t>kristyna.benesova2@email.cz</t>
  </si>
  <si>
    <t>Z118</t>
  </si>
  <si>
    <t>Jelínek</t>
  </si>
  <si>
    <t>+420 739 343 722</t>
  </si>
  <si>
    <t>radek.jelinek@email.cz</t>
  </si>
  <si>
    <t>Z119</t>
  </si>
  <si>
    <t>Hájek</t>
  </si>
  <si>
    <t>+420 602 525 378</t>
  </si>
  <si>
    <t>filip.hajek@email.cz</t>
  </si>
  <si>
    <t>Z120</t>
  </si>
  <si>
    <t>Sedláčková</t>
  </si>
  <si>
    <t>+420 723 247 155</t>
  </si>
  <si>
    <t>jana.sedlackova@email.cz</t>
  </si>
  <si>
    <t>Z121</t>
  </si>
  <si>
    <t>+420 776 925 460</t>
  </si>
  <si>
    <t>eliska.cermakova@email.cz</t>
  </si>
  <si>
    <t>Z122</t>
  </si>
  <si>
    <t>+420 723 174 850</t>
  </si>
  <si>
    <t>veronika.ruzickova@email.cz</t>
  </si>
  <si>
    <t>Z123</t>
  </si>
  <si>
    <t>Bartoš</t>
  </si>
  <si>
    <t>+420 606 877 936</t>
  </si>
  <si>
    <t>radek.bartos@email.cz</t>
  </si>
  <si>
    <t>Z124</t>
  </si>
  <si>
    <t>+420 739 969 809</t>
  </si>
  <si>
    <t>michal.bartos@email.cz</t>
  </si>
  <si>
    <t>Z125</t>
  </si>
  <si>
    <t>+420 702 740 591</t>
  </si>
  <si>
    <t>tereza.svobodova@email.cz</t>
  </si>
  <si>
    <t>Z126</t>
  </si>
  <si>
    <t>Urban</t>
  </si>
  <si>
    <t>+420 736 175 573</t>
  </si>
  <si>
    <t>josef.urban@email.cz</t>
  </si>
  <si>
    <t>Z127</t>
  </si>
  <si>
    <t>+420 702 451 453</t>
  </si>
  <si>
    <t>vojtech.nemec@email.cz</t>
  </si>
  <si>
    <t>Z128</t>
  </si>
  <si>
    <t>+420 604 150 577</t>
  </si>
  <si>
    <t>monika.jelinkova@email.cz</t>
  </si>
  <si>
    <t>Z129</t>
  </si>
  <si>
    <t>+420 723 776 860</t>
  </si>
  <si>
    <t>lukas.fiala@email.cz</t>
  </si>
  <si>
    <t>Z130</t>
  </si>
  <si>
    <t>+420 732 770 820</t>
  </si>
  <si>
    <t>petra.navratilova@email.cz</t>
  </si>
  <si>
    <t>Z131</t>
  </si>
  <si>
    <t>+420 739 466 651</t>
  </si>
  <si>
    <t>vojtech.nemec2@email.cz</t>
  </si>
  <si>
    <t>Z132</t>
  </si>
  <si>
    <t>+420 603 448 845</t>
  </si>
  <si>
    <t>ales.fiala@email.cz</t>
  </si>
  <si>
    <t>Z133</t>
  </si>
  <si>
    <t>Kateřina</t>
  </si>
  <si>
    <t>+420 737 329 535</t>
  </si>
  <si>
    <t>katerina.ruzickova@email.cz</t>
  </si>
  <si>
    <t>Z134</t>
  </si>
  <si>
    <t>+420 702 647 544</t>
  </si>
  <si>
    <t>simona.kovarova@email.cz</t>
  </si>
  <si>
    <t>Z135</t>
  </si>
  <si>
    <t>+420 602 194 683</t>
  </si>
  <si>
    <t>jan.pospisil@email.cz</t>
  </si>
  <si>
    <t>Z136</t>
  </si>
  <si>
    <t>+420 603 911 677</t>
  </si>
  <si>
    <t>jana.fialova@email.cz</t>
  </si>
  <si>
    <t>Z137</t>
  </si>
  <si>
    <t>+420 775 696 383</t>
  </si>
  <si>
    <t>veronika.cerna@email.cz</t>
  </si>
  <si>
    <t>Z138</t>
  </si>
  <si>
    <t>+420 775 508 146</t>
  </si>
  <si>
    <t>jana.kralova@email.cz</t>
  </si>
  <si>
    <t>Z139</t>
  </si>
  <si>
    <t>+420 603 122 220</t>
  </si>
  <si>
    <t>milan.jelinek@email.cz</t>
  </si>
  <si>
    <t>Z140</t>
  </si>
  <si>
    <t>+420 606 818 198</t>
  </si>
  <si>
    <t>martin.bartos@email.cz</t>
  </si>
  <si>
    <t>Z141</t>
  </si>
  <si>
    <t>+420 605 554 518</t>
  </si>
  <si>
    <t>monika.ruzickova@email.cz</t>
  </si>
  <si>
    <t>Z142</t>
  </si>
  <si>
    <t>+420 775 384 833</t>
  </si>
  <si>
    <t>barbora.benesova@email.cz</t>
  </si>
  <si>
    <t>Z143</t>
  </si>
  <si>
    <t>+420 724 518 776</t>
  </si>
  <si>
    <t>ivana.hajkova@email.cz</t>
  </si>
  <si>
    <t>Z144</t>
  </si>
  <si>
    <t>Sedláček</t>
  </si>
  <si>
    <t>+420 602 202 979</t>
  </si>
  <si>
    <t>pavel.sedlacek@email.cz</t>
  </si>
  <si>
    <t>Z145</t>
  </si>
  <si>
    <t>+420 775 621 790</t>
  </si>
  <si>
    <t>hana.kovarova@email.cz</t>
  </si>
  <si>
    <t>Z146</t>
  </si>
  <si>
    <t>+420 723 870 536</t>
  </si>
  <si>
    <t>simona.jelinkova@email.cz</t>
  </si>
  <si>
    <t>Z147</t>
  </si>
  <si>
    <t>+420 737 974 447</t>
  </si>
  <si>
    <t>klara.vlckova@email.cz</t>
  </si>
  <si>
    <t>Z148</t>
  </si>
  <si>
    <t>+420 605 791 579</t>
  </si>
  <si>
    <t>hana.kralova@email.cz</t>
  </si>
  <si>
    <t>Z149</t>
  </si>
  <si>
    <t>+420 736 830 365</t>
  </si>
  <si>
    <t>lukas.prochazka@email.cz</t>
  </si>
  <si>
    <t>Z150</t>
  </si>
  <si>
    <t>+420 604 879 764</t>
  </si>
  <si>
    <t>filip.ruzicka@email.cz</t>
  </si>
  <si>
    <t>Z151</t>
  </si>
  <si>
    <t>+420 737 442 860</t>
  </si>
  <si>
    <t>filip.navratil2@email.cz</t>
  </si>
  <si>
    <t>Z152</t>
  </si>
  <si>
    <t>+420 724 518 209</t>
  </si>
  <si>
    <t>jan.bartos@email.cz</t>
  </si>
  <si>
    <t>Z153</t>
  </si>
  <si>
    <t>+420 604 407 550</t>
  </si>
  <si>
    <t>lukas.vlcek2@email.cz</t>
  </si>
  <si>
    <t>Z154</t>
  </si>
  <si>
    <t>+420 737 918 250</t>
  </si>
  <si>
    <t>jakub.bartos@email.cz</t>
  </si>
  <si>
    <t>Z155</t>
  </si>
  <si>
    <t>+420 608 191 368</t>
  </si>
  <si>
    <t>jan.zeman@email.cz</t>
  </si>
  <si>
    <t>Z156</t>
  </si>
  <si>
    <t>+420 739 170 621</t>
  </si>
  <si>
    <t>lenka.kovarova@email.cz</t>
  </si>
  <si>
    <t>Z157</t>
  </si>
  <si>
    <t>+420 777 710 758</t>
  </si>
  <si>
    <t>simona.cerna2@email.cz</t>
  </si>
  <si>
    <t>Opava</t>
  </si>
  <si>
    <t>Z158</t>
  </si>
  <si>
    <t>+420 724 435 124</t>
  </si>
  <si>
    <t>ivana.jelinkova@email.cz</t>
  </si>
  <si>
    <t>Z159</t>
  </si>
  <si>
    <t>+420 736 645 834</t>
  </si>
  <si>
    <t>filip.kucera@email.cz</t>
  </si>
  <si>
    <t>Z160</t>
  </si>
  <si>
    <t>Zemanová</t>
  </si>
  <si>
    <t>+420 604 488 232</t>
  </si>
  <si>
    <t>barbora.zemanova@email.cz</t>
  </si>
  <si>
    <t>Z161</t>
  </si>
  <si>
    <t>Blažek</t>
  </si>
  <si>
    <t>+420 702 108 226</t>
  </si>
  <si>
    <t>pavel.blazek@email.cz</t>
  </si>
  <si>
    <t>Zakaznici tabulka pro Power Query a Power BI</t>
  </si>
  <si>
    <t>tuto tabulku bude potřeba upravit</t>
  </si>
  <si>
    <t>Definovaný název ukázka</t>
  </si>
  <si>
    <t>Sloupec navíc</t>
  </si>
  <si>
    <t>JAN</t>
  </si>
  <si>
    <t>PETRA</t>
  </si>
  <si>
    <t>pavel</t>
  </si>
  <si>
    <t>Poznámka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</si>
</sst>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name val="Aptos Narrow"/>
      <family val="2"/>
    </font>
    <font>
      <b/>
      <sz val="11"/>
      <name val="Aptos Narrow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2" fillId="0" borderId="0" xfId="1"/>
    <xf numFmtId="0" fontId="3" fillId="0" borderId="0" xfId="2"/>
    <xf numFmtId="0" fontId="3" fillId="0" borderId="1" xfId="2" applyBorder="1"/>
    <xf numFmtId="0" fontId="0" fillId="0" borderId="0" xfId="0" applyAlignment="1">
      <alignment horizontal="center" vertical="center"/>
    </xf>
  </cellXfs>
  <cellStyles count="3">
    <cellStyle name="Normal" xfId="0" builtinId="0"/>
    <cellStyle name="Normální 2" xfId="1" xr:uid="{42E49F8B-EDB8-4B98-9F7A-977CA53F8DDF}"/>
    <cellStyle name="Normální 3" xfId="2" xr:uid="{B1549825-3E0A-4693-98E1-1EE91C3610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6465F168-D723-423D-92D2-6EEBF214FA48}">
  <we:reference id="wa200003537" version="1.3.0.0" store="en-US" storeType="OMEX"/>
  <we:alternateReferences>
    <we:reference id="WA200003537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_xldudf_LABS_PREVIEW_GENERATIVEAI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D30E5165-F71A-4D86-ACD2-0D6C4D18ADA3}">
  <we:reference id="wa200003696" version="1.3.0.0" store="cs-CZ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1ADA78E9-8FB6-43BE-8E91-A19DBCCAC153}">
  <we:reference id="wa200006007" version="1.3.0.0" store="cs-CZ" storeType="OMEX"/>
  <we:alternateReferences>
    <we:reference id="WA200006007" version="1.3.0.0" store="" storeType="OMEX"/>
  </we:alternateReferences>
  <we:properties>
    <we:property name="Office.ForceRefreshCustomFunctionsCache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7261-63C4-4FDD-ACBD-B3CD23374862}">
  <dimension ref="A1:N165"/>
  <sheetViews>
    <sheetView showGridLines="0" tabSelected="1" topLeftCell="C1" workbookViewId="0">
      <selection activeCell="N13" sqref="N13"/>
    </sheetView>
  </sheetViews>
  <sheetFormatPr defaultRowHeight="14.5" x14ac:dyDescent="0.35"/>
  <cols>
    <col min="1" max="1" width="8" customWidth="1"/>
    <col min="2" max="2" width="8.54296875" customWidth="1"/>
    <col min="3" max="3" width="10.81640625" customWidth="1"/>
    <col min="4" max="4" width="10" customWidth="1"/>
    <col min="5" max="5" width="18" customWidth="1"/>
    <col min="6" max="6" width="23.453125" customWidth="1"/>
    <col min="7" max="7" width="14" customWidth="1"/>
    <col min="8" max="8" width="11" customWidth="1"/>
    <col min="9" max="9" width="9" customWidth="1"/>
    <col min="10" max="10" width="13.08984375" customWidth="1"/>
    <col min="11" max="12" width="9" customWidth="1"/>
  </cols>
  <sheetData>
    <row r="1" spans="1:14" x14ac:dyDescent="0.35">
      <c r="A1" s="4" t="s">
        <v>657</v>
      </c>
    </row>
    <row r="2" spans="1:14" x14ac:dyDescent="0.35">
      <c r="A2" s="4" t="s">
        <v>658</v>
      </c>
    </row>
    <row r="4" spans="1:14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660</v>
      </c>
      <c r="N4" s="1" t="s">
        <v>664</v>
      </c>
    </row>
    <row r="5" spans="1:14" x14ac:dyDescent="0.35">
      <c r="A5" t="s">
        <v>12</v>
      </c>
      <c r="B5" t="s">
        <v>661</v>
      </c>
      <c r="C5" t="s">
        <v>14</v>
      </c>
      <c r="D5" s="7" t="s">
        <v>15</v>
      </c>
      <c r="E5" t="s">
        <v>16</v>
      </c>
      <c r="F5" t="s">
        <v>17</v>
      </c>
      <c r="G5" s="2">
        <v>33693</v>
      </c>
      <c r="H5" s="2">
        <v>44562</v>
      </c>
      <c r="I5" t="s">
        <v>18</v>
      </c>
      <c r="J5" t="s">
        <v>18</v>
      </c>
      <c r="K5" s="3">
        <v>50.075499999999998</v>
      </c>
      <c r="L5" s="3">
        <v>14.437799999999999</v>
      </c>
    </row>
    <row r="6" spans="1:14" x14ac:dyDescent="0.35">
      <c r="A6" t="s">
        <v>19</v>
      </c>
      <c r="B6" t="s">
        <v>663</v>
      </c>
      <c r="C6" t="s">
        <v>21</v>
      </c>
      <c r="D6" s="7"/>
      <c r="E6" t="s">
        <v>22</v>
      </c>
      <c r="F6" t="s">
        <v>23</v>
      </c>
      <c r="G6" s="2">
        <v>28242</v>
      </c>
      <c r="H6" s="2">
        <v>44564</v>
      </c>
      <c r="I6" t="s">
        <v>24</v>
      </c>
      <c r="J6" t="s">
        <v>25</v>
      </c>
      <c r="K6" s="3">
        <v>49.195099999999996</v>
      </c>
      <c r="L6" s="3">
        <v>16.6068</v>
      </c>
    </row>
    <row r="7" spans="1:14" x14ac:dyDescent="0.35">
      <c r="A7" t="s">
        <v>26</v>
      </c>
      <c r="B7" t="s">
        <v>27</v>
      </c>
      <c r="C7" t="s">
        <v>28</v>
      </c>
      <c r="D7" s="7" t="s">
        <v>29</v>
      </c>
      <c r="E7" t="s">
        <v>30</v>
      </c>
      <c r="F7" t="s">
        <v>31</v>
      </c>
      <c r="G7" s="2">
        <v>32874</v>
      </c>
      <c r="H7" s="2">
        <v>44566</v>
      </c>
      <c r="I7" t="s">
        <v>18</v>
      </c>
      <c r="J7" t="s">
        <v>18</v>
      </c>
      <c r="K7" s="3">
        <v>50.075499999999998</v>
      </c>
      <c r="L7" s="3">
        <v>14.437799999999999</v>
      </c>
      <c r="N7" t="e">
        <f>1/0</f>
        <v>#DIV/0!</v>
      </c>
    </row>
    <row r="8" spans="1:14" x14ac:dyDescent="0.35">
      <c r="A8" t="s">
        <v>32</v>
      </c>
      <c r="B8" t="s">
        <v>662</v>
      </c>
      <c r="C8" t="s">
        <v>34</v>
      </c>
      <c r="D8" s="7"/>
      <c r="E8" t="s">
        <v>35</v>
      </c>
      <c r="F8" t="s">
        <v>36</v>
      </c>
      <c r="G8" s="2">
        <v>31093</v>
      </c>
      <c r="H8" s="2">
        <v>44568</v>
      </c>
      <c r="I8" t="s">
        <v>24</v>
      </c>
      <c r="J8" t="s">
        <v>25</v>
      </c>
      <c r="K8" s="3">
        <v>49.195099999999996</v>
      </c>
      <c r="L8" s="3">
        <v>16.6068</v>
      </c>
    </row>
    <row r="9" spans="1:14" x14ac:dyDescent="0.35">
      <c r="A9" t="s">
        <v>37</v>
      </c>
      <c r="B9" t="s">
        <v>38</v>
      </c>
      <c r="C9" t="s">
        <v>39</v>
      </c>
      <c r="D9" s="7"/>
      <c r="E9" t="s">
        <v>40</v>
      </c>
      <c r="F9" t="s">
        <v>41</v>
      </c>
      <c r="G9" s="2">
        <v>33693</v>
      </c>
      <c r="H9" s="2">
        <v>44570</v>
      </c>
      <c r="I9" t="s">
        <v>42</v>
      </c>
      <c r="J9" t="s">
        <v>43</v>
      </c>
      <c r="K9" s="3">
        <v>49.820900000000002</v>
      </c>
      <c r="L9" s="3">
        <v>18.262499999999999</v>
      </c>
    </row>
    <row r="10" spans="1:14" x14ac:dyDescent="0.35">
      <c r="A10" t="s">
        <v>44</v>
      </c>
      <c r="B10" t="s">
        <v>45</v>
      </c>
      <c r="C10" t="s">
        <v>46</v>
      </c>
      <c r="D10" s="7"/>
      <c r="E10" t="s">
        <v>47</v>
      </c>
      <c r="F10" t="s">
        <v>48</v>
      </c>
      <c r="G10" s="2">
        <v>32253</v>
      </c>
      <c r="H10" s="2">
        <v>44572</v>
      </c>
      <c r="I10" t="s">
        <v>49</v>
      </c>
      <c r="J10" t="s">
        <v>50</v>
      </c>
      <c r="K10" s="3">
        <v>49.738399999999999</v>
      </c>
      <c r="L10" s="3">
        <v>13.3736</v>
      </c>
    </row>
    <row r="11" spans="1:14" x14ac:dyDescent="0.35">
      <c r="A11" t="s">
        <v>51</v>
      </c>
      <c r="B11" t="s">
        <v>52</v>
      </c>
      <c r="C11" t="s">
        <v>53</v>
      </c>
      <c r="D11" t="s">
        <v>15</v>
      </c>
      <c r="E11" t="s">
        <v>54</v>
      </c>
      <c r="F11" t="s">
        <v>55</v>
      </c>
      <c r="G11" s="2">
        <v>34829</v>
      </c>
      <c r="H11" s="2">
        <v>44574</v>
      </c>
      <c r="I11" t="s">
        <v>56</v>
      </c>
      <c r="J11" t="s">
        <v>57</v>
      </c>
      <c r="K11" s="3">
        <v>50.2104</v>
      </c>
      <c r="L11" s="3">
        <v>15.832700000000001</v>
      </c>
    </row>
    <row r="12" spans="1:14" x14ac:dyDescent="0.35">
      <c r="A12" t="s">
        <v>58</v>
      </c>
      <c r="B12" t="s">
        <v>59</v>
      </c>
      <c r="C12" t="s">
        <v>60</v>
      </c>
      <c r="D12" t="s">
        <v>29</v>
      </c>
      <c r="E12" t="s">
        <v>61</v>
      </c>
      <c r="F12" t="s">
        <v>62</v>
      </c>
      <c r="G12" s="2">
        <v>34145</v>
      </c>
      <c r="H12" s="2">
        <v>44576</v>
      </c>
      <c r="I12" t="s">
        <v>24</v>
      </c>
      <c r="J12" t="s">
        <v>25</v>
      </c>
      <c r="K12" s="3">
        <v>49.195099999999996</v>
      </c>
      <c r="L12" s="3">
        <v>16.6068</v>
      </c>
      <c r="N12" t="e" cm="1">
        <f t="array" ref="N12">AHOJ</f>
        <v>#NAME?</v>
      </c>
    </row>
    <row r="13" spans="1:14" x14ac:dyDescent="0.35">
      <c r="A13" t="s">
        <v>63</v>
      </c>
      <c r="B13" t="s">
        <v>64</v>
      </c>
      <c r="C13" t="s">
        <v>65</v>
      </c>
      <c r="D13" t="s">
        <v>15</v>
      </c>
      <c r="E13" t="s">
        <v>66</v>
      </c>
      <c r="F13" t="s">
        <v>67</v>
      </c>
      <c r="G13" s="2">
        <v>31963</v>
      </c>
      <c r="H13" s="2">
        <v>44578</v>
      </c>
      <c r="I13" t="s">
        <v>68</v>
      </c>
      <c r="J13" t="s">
        <v>69</v>
      </c>
      <c r="K13" s="3">
        <v>49.593800000000002</v>
      </c>
      <c r="L13" s="3">
        <v>17.250900000000001</v>
      </c>
    </row>
    <row r="14" spans="1:14" x14ac:dyDescent="0.35">
      <c r="A14" t="s">
        <v>70</v>
      </c>
      <c r="B14" t="s">
        <v>71</v>
      </c>
      <c r="C14" t="s">
        <v>72</v>
      </c>
      <c r="D14" t="s">
        <v>29</v>
      </c>
      <c r="E14" t="s">
        <v>73</v>
      </c>
      <c r="F14" t="s">
        <v>74</v>
      </c>
      <c r="G14" s="2">
        <v>35292</v>
      </c>
      <c r="H14" s="2">
        <v>44580</v>
      </c>
      <c r="I14" t="s">
        <v>75</v>
      </c>
      <c r="J14" t="s">
        <v>76</v>
      </c>
      <c r="K14" s="3">
        <v>48.974499999999999</v>
      </c>
      <c r="L14" s="3">
        <v>14.474299999999999</v>
      </c>
    </row>
    <row r="15" spans="1:14" x14ac:dyDescent="0.35">
      <c r="A15" t="s">
        <v>77</v>
      </c>
      <c r="B15" t="s">
        <v>78</v>
      </c>
      <c r="C15" t="s">
        <v>79</v>
      </c>
      <c r="D15" t="s">
        <v>15</v>
      </c>
      <c r="E15" t="s">
        <v>80</v>
      </c>
      <c r="F15" t="s">
        <v>81</v>
      </c>
      <c r="G15" s="2">
        <v>32761</v>
      </c>
      <c r="H15" s="2">
        <v>44641</v>
      </c>
      <c r="I15" t="s">
        <v>82</v>
      </c>
      <c r="J15" t="s">
        <v>83</v>
      </c>
      <c r="K15" s="3">
        <v>49.226500000000001</v>
      </c>
      <c r="L15" s="3">
        <v>17.6707</v>
      </c>
    </row>
    <row r="16" spans="1:14" x14ac:dyDescent="0.35">
      <c r="A16" t="s">
        <v>84</v>
      </c>
      <c r="B16" t="s">
        <v>85</v>
      </c>
      <c r="C16" t="s">
        <v>86</v>
      </c>
      <c r="D16" s="7" t="s">
        <v>29</v>
      </c>
      <c r="E16" t="s">
        <v>87</v>
      </c>
      <c r="F16" t="s">
        <v>88</v>
      </c>
      <c r="G16" s="2">
        <v>33512</v>
      </c>
      <c r="H16" s="2">
        <v>44641</v>
      </c>
      <c r="I16" t="s">
        <v>89</v>
      </c>
      <c r="J16" t="s">
        <v>90</v>
      </c>
      <c r="K16" s="3">
        <v>50.660699999999999</v>
      </c>
      <c r="L16" s="3">
        <v>14.032299999999999</v>
      </c>
    </row>
    <row r="17" spans="1:12" x14ac:dyDescent="0.35">
      <c r="A17" t="s">
        <v>91</v>
      </c>
      <c r="B17" t="s">
        <v>92</v>
      </c>
      <c r="C17" t="s">
        <v>93</v>
      </c>
      <c r="D17" s="7"/>
      <c r="E17" t="s">
        <v>94</v>
      </c>
      <c r="F17" t="s">
        <v>95</v>
      </c>
      <c r="G17" s="2">
        <v>30563</v>
      </c>
      <c r="H17" s="2">
        <v>44646</v>
      </c>
      <c r="I17" t="s">
        <v>24</v>
      </c>
      <c r="J17" t="s">
        <v>25</v>
      </c>
      <c r="K17" s="3">
        <v>49.195099999999996</v>
      </c>
      <c r="L17" s="3">
        <v>16.6068</v>
      </c>
    </row>
    <row r="18" spans="1:12" x14ac:dyDescent="0.35">
      <c r="A18" t="s">
        <v>96</v>
      </c>
      <c r="B18" t="s">
        <v>92</v>
      </c>
      <c r="C18" t="s">
        <v>97</v>
      </c>
      <c r="D18" s="7"/>
      <c r="E18" t="s">
        <v>98</v>
      </c>
      <c r="F18" t="s">
        <v>99</v>
      </c>
      <c r="G18" s="2">
        <v>28199</v>
      </c>
      <c r="H18" s="2">
        <v>44650</v>
      </c>
      <c r="I18" t="s">
        <v>18</v>
      </c>
      <c r="J18" t="s">
        <v>18</v>
      </c>
      <c r="K18" s="3">
        <v>50.075499999999998</v>
      </c>
      <c r="L18" s="3">
        <v>14.437799999999999</v>
      </c>
    </row>
    <row r="19" spans="1:12" x14ac:dyDescent="0.35">
      <c r="A19" t="s">
        <v>100</v>
      </c>
      <c r="B19" t="s">
        <v>13</v>
      </c>
      <c r="C19" t="s">
        <v>101</v>
      </c>
      <c r="D19" t="s">
        <v>15</v>
      </c>
      <c r="E19" t="s">
        <v>102</v>
      </c>
      <c r="F19" t="s">
        <v>103</v>
      </c>
      <c r="G19" s="2">
        <v>29100</v>
      </c>
      <c r="H19" s="2">
        <v>44680</v>
      </c>
      <c r="I19" t="s">
        <v>42</v>
      </c>
      <c r="J19" t="s">
        <v>43</v>
      </c>
      <c r="K19" s="3">
        <v>49.820900000000002</v>
      </c>
      <c r="L19" s="3">
        <v>18.262499999999999</v>
      </c>
    </row>
    <row r="20" spans="1:12" x14ac:dyDescent="0.35">
      <c r="A20" t="s">
        <v>104</v>
      </c>
      <c r="B20" t="s">
        <v>105</v>
      </c>
      <c r="C20" t="s">
        <v>106</v>
      </c>
      <c r="D20" t="s">
        <v>29</v>
      </c>
      <c r="E20" t="s">
        <v>107</v>
      </c>
      <c r="F20" t="s">
        <v>108</v>
      </c>
      <c r="G20" s="2">
        <v>28451</v>
      </c>
      <c r="H20" s="2">
        <v>44680</v>
      </c>
      <c r="I20" t="s">
        <v>68</v>
      </c>
      <c r="J20" t="s">
        <v>69</v>
      </c>
      <c r="K20" s="3">
        <v>49.593800000000002</v>
      </c>
      <c r="L20" s="3">
        <v>17.250900000000001</v>
      </c>
    </row>
    <row r="21" spans="1:12" x14ac:dyDescent="0.35">
      <c r="A21" t="s">
        <v>109</v>
      </c>
      <c r="B21" t="s">
        <v>110</v>
      </c>
      <c r="C21" t="s">
        <v>111</v>
      </c>
      <c r="D21" s="7" t="s">
        <v>15</v>
      </c>
      <c r="E21" t="s">
        <v>112</v>
      </c>
      <c r="F21" t="s">
        <v>113</v>
      </c>
      <c r="G21" s="2">
        <v>29951</v>
      </c>
      <c r="H21" s="2">
        <v>44681</v>
      </c>
      <c r="I21" t="s">
        <v>49</v>
      </c>
      <c r="J21" t="s">
        <v>50</v>
      </c>
      <c r="K21" s="3">
        <v>49.738399999999999</v>
      </c>
      <c r="L21" s="3">
        <v>13.3736</v>
      </c>
    </row>
    <row r="22" spans="1:12" x14ac:dyDescent="0.35">
      <c r="A22" t="s">
        <v>114</v>
      </c>
      <c r="B22" t="s">
        <v>115</v>
      </c>
      <c r="C22" t="s">
        <v>111</v>
      </c>
      <c r="D22" s="7"/>
      <c r="E22" t="s">
        <v>116</v>
      </c>
      <c r="F22" t="s">
        <v>117</v>
      </c>
      <c r="G22" s="2">
        <v>27557</v>
      </c>
      <c r="H22" s="2">
        <v>44689</v>
      </c>
      <c r="I22" t="s">
        <v>49</v>
      </c>
      <c r="J22" t="s">
        <v>50</v>
      </c>
      <c r="K22" s="3">
        <v>49.738399999999999</v>
      </c>
      <c r="L22" s="3">
        <v>13.3736</v>
      </c>
    </row>
    <row r="23" spans="1:12" x14ac:dyDescent="0.35">
      <c r="A23" t="s">
        <v>118</v>
      </c>
      <c r="B23" t="s">
        <v>115</v>
      </c>
      <c r="C23" t="s">
        <v>111</v>
      </c>
      <c r="D23" s="7"/>
      <c r="E23" t="s">
        <v>119</v>
      </c>
      <c r="F23" t="s">
        <v>120</v>
      </c>
      <c r="G23" s="2">
        <v>36086</v>
      </c>
      <c r="H23" s="2">
        <v>44689</v>
      </c>
      <c r="I23" t="s">
        <v>56</v>
      </c>
      <c r="J23" t="s">
        <v>57</v>
      </c>
      <c r="K23" s="3">
        <v>50.2104</v>
      </c>
      <c r="L23" s="3">
        <v>15.832700000000001</v>
      </c>
    </row>
    <row r="24" spans="1:12" x14ac:dyDescent="0.35">
      <c r="A24" t="s">
        <v>121</v>
      </c>
      <c r="B24" t="s">
        <v>122</v>
      </c>
      <c r="C24" t="s">
        <v>14</v>
      </c>
      <c r="D24" s="7"/>
      <c r="E24" t="s">
        <v>123</v>
      </c>
      <c r="F24" t="s">
        <v>124</v>
      </c>
      <c r="G24" s="2">
        <v>24860</v>
      </c>
      <c r="H24" s="2">
        <v>44694</v>
      </c>
      <c r="I24" t="s">
        <v>75</v>
      </c>
      <c r="J24" t="s">
        <v>76</v>
      </c>
      <c r="K24" s="3">
        <v>48.974499999999999</v>
      </c>
      <c r="L24" s="3">
        <v>14.474299999999999</v>
      </c>
    </row>
    <row r="25" spans="1:12" x14ac:dyDescent="0.35">
      <c r="A25" t="s">
        <v>125</v>
      </c>
      <c r="B25" t="s">
        <v>64</v>
      </c>
      <c r="C25" t="s">
        <v>126</v>
      </c>
      <c r="D25" s="7"/>
      <c r="E25" t="s">
        <v>127</v>
      </c>
      <c r="F25" t="s">
        <v>128</v>
      </c>
      <c r="G25" s="2">
        <v>35868</v>
      </c>
      <c r="H25" s="2">
        <v>44718</v>
      </c>
      <c r="I25" t="s">
        <v>129</v>
      </c>
      <c r="J25" t="s">
        <v>130</v>
      </c>
      <c r="K25" s="3">
        <v>50.231900000000003</v>
      </c>
      <c r="L25" s="3">
        <v>12.872</v>
      </c>
    </row>
    <row r="26" spans="1:12" x14ac:dyDescent="0.35">
      <c r="A26" t="s">
        <v>131</v>
      </c>
      <c r="B26" t="s">
        <v>132</v>
      </c>
      <c r="C26" t="s">
        <v>133</v>
      </c>
      <c r="D26" s="7"/>
      <c r="E26" t="s">
        <v>134</v>
      </c>
      <c r="F26" t="s">
        <v>135</v>
      </c>
      <c r="G26" s="2">
        <v>25630</v>
      </c>
      <c r="H26" s="2">
        <v>44728</v>
      </c>
      <c r="I26" t="s">
        <v>136</v>
      </c>
      <c r="J26" t="s">
        <v>137</v>
      </c>
      <c r="K26" s="3">
        <v>49.184199999999997</v>
      </c>
      <c r="L26" s="3">
        <v>15.4528</v>
      </c>
    </row>
    <row r="27" spans="1:12" x14ac:dyDescent="0.35">
      <c r="A27" t="s">
        <v>138</v>
      </c>
      <c r="B27" t="s">
        <v>139</v>
      </c>
      <c r="C27" t="s">
        <v>140</v>
      </c>
      <c r="D27" s="7"/>
      <c r="E27" t="s">
        <v>141</v>
      </c>
      <c r="F27" t="s">
        <v>142</v>
      </c>
      <c r="G27" s="2">
        <v>30980</v>
      </c>
      <c r="H27" s="2">
        <v>44735</v>
      </c>
      <c r="I27" t="s">
        <v>143</v>
      </c>
      <c r="J27" t="s">
        <v>144</v>
      </c>
      <c r="K27" s="3">
        <v>49.948399999999999</v>
      </c>
      <c r="L27" s="3">
        <v>15.2682</v>
      </c>
    </row>
    <row r="28" spans="1:12" x14ac:dyDescent="0.35">
      <c r="A28" t="s">
        <v>145</v>
      </c>
      <c r="B28" t="s">
        <v>146</v>
      </c>
      <c r="C28" t="s">
        <v>147</v>
      </c>
      <c r="D28" t="s">
        <v>29</v>
      </c>
      <c r="E28" t="s">
        <v>148</v>
      </c>
      <c r="F28" t="s">
        <v>149</v>
      </c>
      <c r="G28" s="2">
        <v>30817</v>
      </c>
      <c r="H28" s="2">
        <v>44736</v>
      </c>
      <c r="I28" t="s">
        <v>150</v>
      </c>
      <c r="J28" t="s">
        <v>151</v>
      </c>
      <c r="K28" s="3">
        <v>50.766300000000001</v>
      </c>
      <c r="L28" s="3">
        <v>15.0543</v>
      </c>
    </row>
    <row r="29" spans="1:12" x14ac:dyDescent="0.35">
      <c r="A29" t="s">
        <v>152</v>
      </c>
      <c r="B29" t="s">
        <v>153</v>
      </c>
      <c r="C29" t="s">
        <v>154</v>
      </c>
      <c r="D29" t="s">
        <v>29</v>
      </c>
      <c r="E29" t="s">
        <v>155</v>
      </c>
      <c r="F29" t="s">
        <v>156</v>
      </c>
      <c r="G29" s="2">
        <v>33518</v>
      </c>
      <c r="H29" s="2">
        <v>44746</v>
      </c>
      <c r="I29" t="s">
        <v>157</v>
      </c>
      <c r="J29" t="s">
        <v>158</v>
      </c>
      <c r="K29" s="3">
        <v>50.034300000000002</v>
      </c>
      <c r="L29" s="3">
        <v>15.7812</v>
      </c>
    </row>
    <row r="30" spans="1:12" x14ac:dyDescent="0.35">
      <c r="A30" t="s">
        <v>159</v>
      </c>
      <c r="B30" t="s">
        <v>160</v>
      </c>
      <c r="C30" t="s">
        <v>28</v>
      </c>
      <c r="D30" t="s">
        <v>29</v>
      </c>
      <c r="E30" t="s">
        <v>161</v>
      </c>
      <c r="F30" t="s">
        <v>162</v>
      </c>
      <c r="G30" s="2">
        <v>28943</v>
      </c>
      <c r="H30" s="2">
        <v>44753</v>
      </c>
      <c r="I30" t="s">
        <v>163</v>
      </c>
      <c r="J30" t="s">
        <v>90</v>
      </c>
      <c r="K30" s="3">
        <v>50.533499999999997</v>
      </c>
      <c r="L30" s="3">
        <v>14.1318</v>
      </c>
    </row>
    <row r="31" spans="1:12" x14ac:dyDescent="0.35">
      <c r="A31" t="s">
        <v>164</v>
      </c>
      <c r="B31" t="s">
        <v>165</v>
      </c>
      <c r="C31" t="s">
        <v>166</v>
      </c>
      <c r="D31" t="s">
        <v>15</v>
      </c>
      <c r="E31" t="s">
        <v>167</v>
      </c>
      <c r="F31" t="s">
        <v>168</v>
      </c>
      <c r="G31" s="2">
        <v>37020</v>
      </c>
      <c r="H31" s="2">
        <v>44754</v>
      </c>
      <c r="I31" t="s">
        <v>169</v>
      </c>
      <c r="J31" t="s">
        <v>83</v>
      </c>
      <c r="K31" s="3">
        <v>49.297899999999998</v>
      </c>
      <c r="L31" s="3">
        <v>17.3931</v>
      </c>
    </row>
    <row r="32" spans="1:12" x14ac:dyDescent="0.35">
      <c r="A32" t="s">
        <v>170</v>
      </c>
      <c r="B32" t="s">
        <v>171</v>
      </c>
      <c r="C32" t="s">
        <v>172</v>
      </c>
      <c r="D32" t="s">
        <v>15</v>
      </c>
      <c r="E32" t="s">
        <v>173</v>
      </c>
      <c r="F32" t="s">
        <v>174</v>
      </c>
      <c r="G32" s="2">
        <v>34787</v>
      </c>
      <c r="H32" s="2">
        <v>44760</v>
      </c>
      <c r="I32" t="s">
        <v>24</v>
      </c>
      <c r="J32" t="s">
        <v>25</v>
      </c>
      <c r="K32" s="3">
        <v>49.195099999999996</v>
      </c>
      <c r="L32" s="3">
        <v>16.6068</v>
      </c>
    </row>
    <row r="33" spans="1:12" x14ac:dyDescent="0.35">
      <c r="A33" t="s">
        <v>175</v>
      </c>
      <c r="B33" t="s">
        <v>85</v>
      </c>
      <c r="C33" t="s">
        <v>176</v>
      </c>
      <c r="D33" t="s">
        <v>29</v>
      </c>
      <c r="E33" t="s">
        <v>177</v>
      </c>
      <c r="F33" t="s">
        <v>178</v>
      </c>
      <c r="G33" s="2">
        <v>25285</v>
      </c>
      <c r="H33" s="2">
        <v>44761</v>
      </c>
      <c r="I33" t="s">
        <v>18</v>
      </c>
      <c r="J33" t="s">
        <v>18</v>
      </c>
      <c r="K33" s="3">
        <v>50.075499999999998</v>
      </c>
      <c r="L33" s="3">
        <v>14.437799999999999</v>
      </c>
    </row>
    <row r="34" spans="1:12" x14ac:dyDescent="0.35">
      <c r="A34" t="s">
        <v>179</v>
      </c>
      <c r="B34" t="s">
        <v>27</v>
      </c>
      <c r="C34" t="s">
        <v>180</v>
      </c>
      <c r="D34" t="s">
        <v>29</v>
      </c>
      <c r="E34" t="s">
        <v>181</v>
      </c>
      <c r="F34" t="s">
        <v>182</v>
      </c>
      <c r="G34" s="2">
        <v>37748</v>
      </c>
      <c r="H34" s="2">
        <v>44770</v>
      </c>
      <c r="I34" t="s">
        <v>89</v>
      </c>
      <c r="J34" t="s">
        <v>90</v>
      </c>
      <c r="K34" s="3">
        <v>50.660699999999999</v>
      </c>
      <c r="L34" s="3">
        <v>14.032299999999999</v>
      </c>
    </row>
    <row r="35" spans="1:12" x14ac:dyDescent="0.35">
      <c r="A35" t="s">
        <v>183</v>
      </c>
      <c r="B35" t="s">
        <v>184</v>
      </c>
      <c r="C35" t="s">
        <v>185</v>
      </c>
      <c r="D35" t="s">
        <v>29</v>
      </c>
      <c r="E35" t="s">
        <v>186</v>
      </c>
      <c r="F35" t="s">
        <v>187</v>
      </c>
      <c r="G35" s="2">
        <v>30186</v>
      </c>
      <c r="H35" s="2">
        <v>44775</v>
      </c>
      <c r="I35" t="s">
        <v>129</v>
      </c>
      <c r="J35" t="s">
        <v>130</v>
      </c>
      <c r="K35" s="3">
        <v>50.231900000000003</v>
      </c>
      <c r="L35" s="3">
        <v>12.872</v>
      </c>
    </row>
    <row r="36" spans="1:12" x14ac:dyDescent="0.35">
      <c r="A36" t="s">
        <v>188</v>
      </c>
      <c r="B36" t="s">
        <v>45</v>
      </c>
      <c r="C36" t="s">
        <v>189</v>
      </c>
      <c r="D36" t="s">
        <v>29</v>
      </c>
      <c r="E36" t="s">
        <v>190</v>
      </c>
      <c r="F36" t="s">
        <v>191</v>
      </c>
      <c r="G36" s="2">
        <v>22351</v>
      </c>
      <c r="H36" s="2">
        <v>44806</v>
      </c>
      <c r="I36" t="s">
        <v>18</v>
      </c>
      <c r="J36" t="s">
        <v>18</v>
      </c>
      <c r="K36" s="3">
        <v>50.075499999999998</v>
      </c>
      <c r="L36" s="3">
        <v>14.437799999999999</v>
      </c>
    </row>
    <row r="37" spans="1:12" x14ac:dyDescent="0.35">
      <c r="A37" t="s">
        <v>192</v>
      </c>
      <c r="B37" t="s">
        <v>193</v>
      </c>
      <c r="C37" t="s">
        <v>194</v>
      </c>
      <c r="D37" t="s">
        <v>15</v>
      </c>
      <c r="E37" t="s">
        <v>195</v>
      </c>
      <c r="F37" t="s">
        <v>196</v>
      </c>
      <c r="G37" s="2">
        <v>36668</v>
      </c>
      <c r="H37" s="2">
        <v>44825</v>
      </c>
      <c r="I37" t="s">
        <v>18</v>
      </c>
      <c r="J37" t="s">
        <v>18</v>
      </c>
      <c r="K37" s="3">
        <v>50.075499999999998</v>
      </c>
      <c r="L37" s="3">
        <v>14.437799999999999</v>
      </c>
    </row>
    <row r="38" spans="1:12" x14ac:dyDescent="0.35">
      <c r="A38" t="s">
        <v>197</v>
      </c>
      <c r="B38" t="s">
        <v>45</v>
      </c>
      <c r="C38" t="s">
        <v>198</v>
      </c>
      <c r="D38" t="s">
        <v>29</v>
      </c>
      <c r="E38" t="s">
        <v>199</v>
      </c>
      <c r="F38" t="s">
        <v>200</v>
      </c>
      <c r="G38" s="2">
        <v>24695</v>
      </c>
      <c r="H38" s="2">
        <v>44827</v>
      </c>
      <c r="I38" t="s">
        <v>24</v>
      </c>
      <c r="J38" t="s">
        <v>25</v>
      </c>
      <c r="K38" s="3">
        <v>49.195099999999996</v>
      </c>
      <c r="L38" s="3">
        <v>16.6068</v>
      </c>
    </row>
    <row r="39" spans="1:12" x14ac:dyDescent="0.35">
      <c r="A39" t="s">
        <v>201</v>
      </c>
      <c r="B39" t="s">
        <v>202</v>
      </c>
      <c r="C39" t="s">
        <v>203</v>
      </c>
      <c r="D39" t="s">
        <v>29</v>
      </c>
      <c r="E39" t="s">
        <v>204</v>
      </c>
      <c r="F39" t="s">
        <v>205</v>
      </c>
      <c r="G39" s="2">
        <v>32460</v>
      </c>
      <c r="H39" s="2">
        <v>44850</v>
      </c>
      <c r="I39" t="s">
        <v>150</v>
      </c>
      <c r="J39" t="s">
        <v>151</v>
      </c>
      <c r="K39" s="3">
        <v>50.766300000000001</v>
      </c>
      <c r="L39" s="3">
        <v>15.0543</v>
      </c>
    </row>
    <row r="40" spans="1:12" x14ac:dyDescent="0.35">
      <c r="A40" t="s">
        <v>206</v>
      </c>
      <c r="B40" t="s">
        <v>207</v>
      </c>
      <c r="C40" t="s">
        <v>208</v>
      </c>
      <c r="D40" t="s">
        <v>29</v>
      </c>
      <c r="E40" t="s">
        <v>209</v>
      </c>
      <c r="F40" t="s">
        <v>210</v>
      </c>
      <c r="G40" s="2">
        <v>20482</v>
      </c>
      <c r="H40" s="2">
        <v>44853</v>
      </c>
      <c r="I40" t="s">
        <v>75</v>
      </c>
      <c r="J40" t="s">
        <v>76</v>
      </c>
      <c r="K40" s="3">
        <v>48.974499999999999</v>
      </c>
      <c r="L40" s="3">
        <v>14.474299999999999</v>
      </c>
    </row>
    <row r="41" spans="1:12" x14ac:dyDescent="0.35">
      <c r="A41" t="s">
        <v>211</v>
      </c>
      <c r="B41" t="s">
        <v>212</v>
      </c>
      <c r="C41" t="s">
        <v>213</v>
      </c>
      <c r="D41" t="s">
        <v>15</v>
      </c>
      <c r="E41" t="s">
        <v>214</v>
      </c>
      <c r="F41" t="s">
        <v>215</v>
      </c>
      <c r="G41" s="2">
        <v>37048</v>
      </c>
      <c r="H41" s="2">
        <v>44854</v>
      </c>
      <c r="I41" t="s">
        <v>157</v>
      </c>
      <c r="J41" t="s">
        <v>158</v>
      </c>
      <c r="K41" s="3">
        <v>50.034300000000002</v>
      </c>
      <c r="L41" s="3">
        <v>15.7812</v>
      </c>
    </row>
    <row r="42" spans="1:12" x14ac:dyDescent="0.35">
      <c r="A42" t="s">
        <v>216</v>
      </c>
      <c r="B42" t="s">
        <v>13</v>
      </c>
      <c r="C42" t="s">
        <v>217</v>
      </c>
      <c r="D42" t="s">
        <v>15</v>
      </c>
      <c r="E42" t="s">
        <v>218</v>
      </c>
      <c r="F42" t="s">
        <v>219</v>
      </c>
      <c r="G42" s="2">
        <v>23056</v>
      </c>
      <c r="H42" s="2">
        <v>44855</v>
      </c>
      <c r="I42" t="s">
        <v>89</v>
      </c>
      <c r="J42" t="s">
        <v>90</v>
      </c>
      <c r="K42" s="3">
        <v>50.660699999999999</v>
      </c>
      <c r="L42" s="3">
        <v>14.032299999999999</v>
      </c>
    </row>
    <row r="43" spans="1:12" x14ac:dyDescent="0.35">
      <c r="A43" t="s">
        <v>220</v>
      </c>
      <c r="B43" t="s">
        <v>33</v>
      </c>
      <c r="C43" t="s">
        <v>221</v>
      </c>
      <c r="D43" t="s">
        <v>29</v>
      </c>
      <c r="E43" t="s">
        <v>222</v>
      </c>
      <c r="F43" t="s">
        <v>223</v>
      </c>
      <c r="G43" s="2">
        <v>35675</v>
      </c>
      <c r="H43" s="2">
        <v>44873</v>
      </c>
      <c r="I43" t="s">
        <v>56</v>
      </c>
      <c r="J43" t="s">
        <v>57</v>
      </c>
      <c r="K43" s="3">
        <v>50.2104</v>
      </c>
      <c r="L43" s="3">
        <v>15.832700000000001</v>
      </c>
    </row>
    <row r="44" spans="1:12" x14ac:dyDescent="0.35">
      <c r="A44" t="s">
        <v>224</v>
      </c>
      <c r="B44" t="s">
        <v>225</v>
      </c>
      <c r="C44" t="s">
        <v>226</v>
      </c>
      <c r="D44" t="s">
        <v>15</v>
      </c>
      <c r="E44" t="s">
        <v>227</v>
      </c>
      <c r="F44" t="s">
        <v>228</v>
      </c>
      <c r="G44" s="2">
        <v>28700</v>
      </c>
      <c r="H44" s="2">
        <v>44880</v>
      </c>
      <c r="I44" t="s">
        <v>24</v>
      </c>
      <c r="J44" t="s">
        <v>25</v>
      </c>
      <c r="K44" s="3">
        <v>49.195099999999996</v>
      </c>
      <c r="L44" s="3">
        <v>16.6068</v>
      </c>
    </row>
    <row r="45" spans="1:12" x14ac:dyDescent="0.35">
      <c r="A45" t="s">
        <v>229</v>
      </c>
      <c r="B45" t="s">
        <v>45</v>
      </c>
      <c r="C45" t="s">
        <v>230</v>
      </c>
      <c r="D45" t="s">
        <v>29</v>
      </c>
      <c r="E45" t="s">
        <v>231</v>
      </c>
      <c r="F45" t="s">
        <v>232</v>
      </c>
      <c r="G45" s="2">
        <v>34019</v>
      </c>
      <c r="H45" s="2">
        <v>44885</v>
      </c>
      <c r="I45" t="s">
        <v>18</v>
      </c>
      <c r="J45" t="s">
        <v>18</v>
      </c>
      <c r="K45" s="3">
        <v>50.075499999999998</v>
      </c>
      <c r="L45" s="3">
        <v>14.437799999999999</v>
      </c>
    </row>
    <row r="46" spans="1:12" x14ac:dyDescent="0.35">
      <c r="A46" t="s">
        <v>233</v>
      </c>
      <c r="B46" t="s">
        <v>234</v>
      </c>
      <c r="C46" t="s">
        <v>235</v>
      </c>
      <c r="D46" t="s">
        <v>29</v>
      </c>
      <c r="E46" t="s">
        <v>236</v>
      </c>
      <c r="F46" t="s">
        <v>237</v>
      </c>
      <c r="G46" s="2">
        <v>26419</v>
      </c>
      <c r="H46" s="2">
        <v>44891</v>
      </c>
      <c r="I46" t="s">
        <v>238</v>
      </c>
      <c r="J46" t="s">
        <v>137</v>
      </c>
      <c r="K46" s="3">
        <v>49.396099999999997</v>
      </c>
      <c r="L46" s="3">
        <v>15.591200000000001</v>
      </c>
    </row>
    <row r="47" spans="1:12" x14ac:dyDescent="0.35">
      <c r="A47" t="s">
        <v>239</v>
      </c>
      <c r="B47" t="s">
        <v>240</v>
      </c>
      <c r="C47" t="s">
        <v>241</v>
      </c>
      <c r="D47" t="s">
        <v>15</v>
      </c>
      <c r="E47" t="s">
        <v>242</v>
      </c>
      <c r="F47" t="s">
        <v>243</v>
      </c>
      <c r="G47" s="2">
        <v>22340</v>
      </c>
      <c r="H47" s="2">
        <v>44899</v>
      </c>
      <c r="I47" t="s">
        <v>18</v>
      </c>
      <c r="J47" t="s">
        <v>18</v>
      </c>
      <c r="K47" s="3">
        <v>50.075499999999998</v>
      </c>
      <c r="L47" s="3">
        <v>14.437799999999999</v>
      </c>
    </row>
    <row r="48" spans="1:12" x14ac:dyDescent="0.35">
      <c r="A48" t="s">
        <v>244</v>
      </c>
      <c r="B48" t="s">
        <v>245</v>
      </c>
      <c r="C48" t="s">
        <v>246</v>
      </c>
      <c r="D48" t="s">
        <v>15</v>
      </c>
      <c r="E48" t="s">
        <v>247</v>
      </c>
      <c r="F48" t="s">
        <v>248</v>
      </c>
      <c r="G48" s="2">
        <v>33136</v>
      </c>
      <c r="H48" s="2">
        <v>44918</v>
      </c>
      <c r="I48" t="s">
        <v>18</v>
      </c>
      <c r="J48" t="s">
        <v>18</v>
      </c>
      <c r="K48" s="3">
        <v>50.075499999999998</v>
      </c>
      <c r="L48" s="3">
        <v>14.437799999999999</v>
      </c>
    </row>
    <row r="49" spans="1:12" x14ac:dyDescent="0.35">
      <c r="A49" t="s">
        <v>249</v>
      </c>
      <c r="B49" t="s">
        <v>245</v>
      </c>
      <c r="C49" t="s">
        <v>250</v>
      </c>
      <c r="D49" t="s">
        <v>15</v>
      </c>
      <c r="E49" t="s">
        <v>251</v>
      </c>
      <c r="F49" t="s">
        <v>252</v>
      </c>
      <c r="G49" s="2">
        <v>29992</v>
      </c>
      <c r="H49" s="2">
        <v>44921</v>
      </c>
      <c r="I49" t="s">
        <v>136</v>
      </c>
      <c r="J49" t="s">
        <v>137</v>
      </c>
      <c r="K49" s="3">
        <v>49.184199999999997</v>
      </c>
      <c r="L49" s="3">
        <v>15.4528</v>
      </c>
    </row>
    <row r="50" spans="1:12" x14ac:dyDescent="0.35">
      <c r="A50" t="s">
        <v>253</v>
      </c>
      <c r="B50" t="s">
        <v>254</v>
      </c>
      <c r="C50" t="s">
        <v>255</v>
      </c>
      <c r="D50" t="s">
        <v>29</v>
      </c>
      <c r="E50" t="s">
        <v>256</v>
      </c>
      <c r="F50" t="s">
        <v>257</v>
      </c>
      <c r="G50" s="2">
        <v>37047</v>
      </c>
      <c r="H50" s="2">
        <v>44956</v>
      </c>
      <c r="I50" t="s">
        <v>258</v>
      </c>
      <c r="J50" t="s">
        <v>144</v>
      </c>
      <c r="K50" s="3">
        <v>50.4114</v>
      </c>
      <c r="L50" s="3">
        <v>14.9032</v>
      </c>
    </row>
    <row r="51" spans="1:12" x14ac:dyDescent="0.35">
      <c r="A51" t="s">
        <v>259</v>
      </c>
      <c r="B51" t="s">
        <v>260</v>
      </c>
      <c r="C51" t="s">
        <v>111</v>
      </c>
      <c r="D51" t="s">
        <v>15</v>
      </c>
      <c r="E51" t="s">
        <v>261</v>
      </c>
      <c r="F51" t="s">
        <v>262</v>
      </c>
      <c r="G51" s="2">
        <v>23879</v>
      </c>
      <c r="H51" s="2">
        <v>44960</v>
      </c>
      <c r="I51" t="s">
        <v>42</v>
      </c>
      <c r="J51" t="s">
        <v>43</v>
      </c>
      <c r="K51" s="3">
        <v>49.820900000000002</v>
      </c>
      <c r="L51" s="3">
        <v>18.262499999999999</v>
      </c>
    </row>
    <row r="52" spans="1:12" x14ac:dyDescent="0.35">
      <c r="A52" t="s">
        <v>263</v>
      </c>
      <c r="B52" t="s">
        <v>240</v>
      </c>
      <c r="C52" t="s">
        <v>264</v>
      </c>
      <c r="D52" t="s">
        <v>15</v>
      </c>
      <c r="E52" t="s">
        <v>265</v>
      </c>
      <c r="F52" t="s">
        <v>266</v>
      </c>
      <c r="G52" s="2">
        <v>29118</v>
      </c>
      <c r="H52" s="2">
        <v>44989</v>
      </c>
      <c r="I52" t="s">
        <v>169</v>
      </c>
      <c r="J52" t="s">
        <v>83</v>
      </c>
      <c r="K52" s="3">
        <v>49.297899999999998</v>
      </c>
      <c r="L52" s="3">
        <v>17.3931</v>
      </c>
    </row>
    <row r="53" spans="1:12" x14ac:dyDescent="0.35">
      <c r="A53" t="s">
        <v>267</v>
      </c>
      <c r="B53" t="s">
        <v>153</v>
      </c>
      <c r="C53" t="s">
        <v>255</v>
      </c>
      <c r="D53" t="s">
        <v>29</v>
      </c>
      <c r="E53" t="s">
        <v>268</v>
      </c>
      <c r="F53" t="s">
        <v>269</v>
      </c>
      <c r="G53" s="2">
        <v>29562</v>
      </c>
      <c r="H53" s="2">
        <v>44995</v>
      </c>
      <c r="I53" t="s">
        <v>169</v>
      </c>
      <c r="J53" t="s">
        <v>83</v>
      </c>
      <c r="K53" s="3">
        <v>49.297899999999998</v>
      </c>
      <c r="L53" s="3">
        <v>17.3931</v>
      </c>
    </row>
    <row r="54" spans="1:12" x14ac:dyDescent="0.35">
      <c r="A54" t="s">
        <v>270</v>
      </c>
      <c r="B54" t="s">
        <v>271</v>
      </c>
      <c r="C54" t="s">
        <v>230</v>
      </c>
      <c r="D54" t="s">
        <v>29</v>
      </c>
      <c r="E54" t="s">
        <v>272</v>
      </c>
      <c r="F54" t="s">
        <v>273</v>
      </c>
      <c r="G54" s="2">
        <v>32013</v>
      </c>
      <c r="H54" s="2">
        <v>44997</v>
      </c>
      <c r="I54" t="s">
        <v>89</v>
      </c>
      <c r="J54" t="s">
        <v>90</v>
      </c>
      <c r="K54" s="3">
        <v>50.660699999999999</v>
      </c>
      <c r="L54" s="3">
        <v>14.032299999999999</v>
      </c>
    </row>
    <row r="55" spans="1:12" x14ac:dyDescent="0.35">
      <c r="A55" t="s">
        <v>274</v>
      </c>
      <c r="B55" t="s">
        <v>45</v>
      </c>
      <c r="C55" t="s">
        <v>255</v>
      </c>
      <c r="D55" t="s">
        <v>29</v>
      </c>
      <c r="E55" t="s">
        <v>275</v>
      </c>
      <c r="F55" t="s">
        <v>276</v>
      </c>
      <c r="G55" s="2">
        <v>32015</v>
      </c>
      <c r="H55" s="2">
        <v>45006</v>
      </c>
      <c r="I55" t="s">
        <v>18</v>
      </c>
      <c r="J55" t="s">
        <v>18</v>
      </c>
      <c r="K55" s="3">
        <v>50.075499999999998</v>
      </c>
      <c r="L55" s="3">
        <v>14.437799999999999</v>
      </c>
    </row>
    <row r="56" spans="1:12" x14ac:dyDescent="0.35">
      <c r="A56" t="s">
        <v>277</v>
      </c>
      <c r="B56" t="s">
        <v>13</v>
      </c>
      <c r="C56" t="s">
        <v>278</v>
      </c>
      <c r="D56" t="s">
        <v>15</v>
      </c>
      <c r="E56" t="s">
        <v>279</v>
      </c>
      <c r="F56" t="s">
        <v>280</v>
      </c>
      <c r="G56" s="2">
        <v>33296</v>
      </c>
      <c r="H56" s="2">
        <v>45009</v>
      </c>
      <c r="I56" t="s">
        <v>68</v>
      </c>
      <c r="J56" t="s">
        <v>69</v>
      </c>
      <c r="K56" s="3">
        <v>49.593800000000002</v>
      </c>
      <c r="L56" s="3">
        <v>17.250900000000001</v>
      </c>
    </row>
    <row r="57" spans="1:12" x14ac:dyDescent="0.35">
      <c r="A57" t="s">
        <v>281</v>
      </c>
      <c r="B57" t="s">
        <v>282</v>
      </c>
      <c r="C57" t="s">
        <v>180</v>
      </c>
      <c r="D57" t="s">
        <v>29</v>
      </c>
      <c r="E57" t="s">
        <v>283</v>
      </c>
      <c r="F57" t="s">
        <v>284</v>
      </c>
      <c r="G57" s="2">
        <v>20933</v>
      </c>
      <c r="H57" s="2">
        <v>45012</v>
      </c>
      <c r="I57" t="s">
        <v>285</v>
      </c>
      <c r="J57" t="s">
        <v>90</v>
      </c>
      <c r="K57" s="3">
        <v>50.6404</v>
      </c>
      <c r="L57" s="3">
        <v>13.8245</v>
      </c>
    </row>
    <row r="58" spans="1:12" x14ac:dyDescent="0.35">
      <c r="A58" t="s">
        <v>286</v>
      </c>
      <c r="B58" t="s">
        <v>240</v>
      </c>
      <c r="C58" t="s">
        <v>287</v>
      </c>
      <c r="D58" t="s">
        <v>15</v>
      </c>
      <c r="E58" t="s">
        <v>288</v>
      </c>
      <c r="F58" t="s">
        <v>289</v>
      </c>
      <c r="G58" s="2">
        <v>37639</v>
      </c>
      <c r="H58" s="2">
        <v>45042</v>
      </c>
      <c r="I58" t="s">
        <v>238</v>
      </c>
      <c r="J58" t="s">
        <v>137</v>
      </c>
      <c r="K58" s="3">
        <v>49.396099999999997</v>
      </c>
      <c r="L58" s="3">
        <v>15.591200000000001</v>
      </c>
    </row>
    <row r="59" spans="1:12" x14ac:dyDescent="0.35">
      <c r="A59" t="s">
        <v>290</v>
      </c>
      <c r="B59" t="s">
        <v>291</v>
      </c>
      <c r="C59" t="s">
        <v>34</v>
      </c>
      <c r="D59" t="s">
        <v>29</v>
      </c>
      <c r="E59" t="s">
        <v>292</v>
      </c>
      <c r="F59" t="s">
        <v>293</v>
      </c>
      <c r="G59" s="2">
        <v>27505</v>
      </c>
      <c r="H59" s="2">
        <v>45056</v>
      </c>
      <c r="I59" t="s">
        <v>285</v>
      </c>
      <c r="J59" t="s">
        <v>90</v>
      </c>
      <c r="K59" s="3">
        <v>50.6404</v>
      </c>
      <c r="L59" s="3">
        <v>13.8245</v>
      </c>
    </row>
    <row r="60" spans="1:12" x14ac:dyDescent="0.35">
      <c r="A60" t="s">
        <v>294</v>
      </c>
      <c r="B60" t="s">
        <v>78</v>
      </c>
      <c r="C60" t="s">
        <v>246</v>
      </c>
      <c r="D60" t="s">
        <v>15</v>
      </c>
      <c r="E60" t="s">
        <v>295</v>
      </c>
      <c r="F60" t="s">
        <v>296</v>
      </c>
      <c r="G60" s="2">
        <v>27417</v>
      </c>
      <c r="H60" s="2">
        <v>45061</v>
      </c>
      <c r="I60" t="s">
        <v>297</v>
      </c>
      <c r="J60" t="s">
        <v>25</v>
      </c>
      <c r="K60" s="3">
        <v>48.855499999999999</v>
      </c>
      <c r="L60" s="3">
        <v>16.0488</v>
      </c>
    </row>
    <row r="61" spans="1:12" x14ac:dyDescent="0.35">
      <c r="A61" t="s">
        <v>298</v>
      </c>
      <c r="B61" t="s">
        <v>299</v>
      </c>
      <c r="C61" t="s">
        <v>300</v>
      </c>
      <c r="D61" t="s">
        <v>29</v>
      </c>
      <c r="E61" t="s">
        <v>301</v>
      </c>
      <c r="F61" t="s">
        <v>302</v>
      </c>
      <c r="G61" s="2">
        <v>27520</v>
      </c>
      <c r="H61" s="2">
        <v>45063</v>
      </c>
      <c r="I61" t="s">
        <v>68</v>
      </c>
      <c r="J61" t="s">
        <v>69</v>
      </c>
      <c r="K61" s="3">
        <v>49.593800000000002</v>
      </c>
      <c r="L61" s="3">
        <v>17.250900000000001</v>
      </c>
    </row>
    <row r="62" spans="1:12" x14ac:dyDescent="0.35">
      <c r="A62" t="s">
        <v>303</v>
      </c>
      <c r="B62" t="s">
        <v>304</v>
      </c>
      <c r="C62" t="s">
        <v>305</v>
      </c>
      <c r="D62" t="s">
        <v>29</v>
      </c>
      <c r="E62" t="s">
        <v>306</v>
      </c>
      <c r="F62" t="s">
        <v>307</v>
      </c>
      <c r="G62" s="2">
        <v>37637</v>
      </c>
      <c r="H62" s="2">
        <v>45066</v>
      </c>
      <c r="I62" t="s">
        <v>169</v>
      </c>
      <c r="J62" t="s">
        <v>83</v>
      </c>
      <c r="K62" s="3">
        <v>49.297899999999998</v>
      </c>
      <c r="L62" s="3">
        <v>17.3931</v>
      </c>
    </row>
    <row r="63" spans="1:12" x14ac:dyDescent="0.35">
      <c r="A63" t="s">
        <v>308</v>
      </c>
      <c r="B63" t="s">
        <v>153</v>
      </c>
      <c r="C63" t="s">
        <v>305</v>
      </c>
      <c r="D63" t="s">
        <v>29</v>
      </c>
      <c r="E63" t="s">
        <v>309</v>
      </c>
      <c r="F63" t="s">
        <v>310</v>
      </c>
      <c r="G63" s="2">
        <v>32999</v>
      </c>
      <c r="H63" s="2">
        <v>45067</v>
      </c>
      <c r="I63" t="s">
        <v>24</v>
      </c>
      <c r="J63" t="s">
        <v>25</v>
      </c>
      <c r="K63" s="3">
        <v>49.195099999999996</v>
      </c>
      <c r="L63" s="3">
        <v>16.6068</v>
      </c>
    </row>
    <row r="64" spans="1:12" x14ac:dyDescent="0.35">
      <c r="A64" t="s">
        <v>311</v>
      </c>
      <c r="B64" t="s">
        <v>312</v>
      </c>
      <c r="C64" t="s">
        <v>312</v>
      </c>
      <c r="D64" t="s">
        <v>15</v>
      </c>
      <c r="E64" t="s">
        <v>313</v>
      </c>
      <c r="F64" t="s">
        <v>314</v>
      </c>
      <c r="G64" s="2">
        <v>35931</v>
      </c>
      <c r="H64" s="2">
        <v>45070</v>
      </c>
      <c r="I64" t="s">
        <v>18</v>
      </c>
      <c r="J64" t="s">
        <v>18</v>
      </c>
      <c r="K64" s="3">
        <v>50.075499999999998</v>
      </c>
      <c r="L64" s="3">
        <v>14.437799999999999</v>
      </c>
    </row>
    <row r="65" spans="1:12" x14ac:dyDescent="0.35">
      <c r="A65" t="s">
        <v>315</v>
      </c>
      <c r="B65" t="s">
        <v>234</v>
      </c>
      <c r="C65" t="s">
        <v>305</v>
      </c>
      <c r="D65" t="s">
        <v>29</v>
      </c>
      <c r="E65" t="s">
        <v>316</v>
      </c>
      <c r="F65" t="s">
        <v>317</v>
      </c>
      <c r="G65" s="2">
        <v>20115</v>
      </c>
      <c r="H65" s="2">
        <v>45089</v>
      </c>
      <c r="I65" t="s">
        <v>318</v>
      </c>
      <c r="J65" t="s">
        <v>144</v>
      </c>
      <c r="K65" s="3">
        <v>50.147300000000001</v>
      </c>
      <c r="L65" s="3">
        <v>14.1029</v>
      </c>
    </row>
    <row r="66" spans="1:12" x14ac:dyDescent="0.35">
      <c r="A66" t="s">
        <v>319</v>
      </c>
      <c r="B66" t="s">
        <v>110</v>
      </c>
      <c r="C66" t="s">
        <v>320</v>
      </c>
      <c r="D66" t="s">
        <v>15</v>
      </c>
      <c r="E66" t="s">
        <v>321</v>
      </c>
      <c r="F66" t="s">
        <v>322</v>
      </c>
      <c r="G66" s="2">
        <v>28907</v>
      </c>
      <c r="H66" s="2">
        <v>45108</v>
      </c>
      <c r="I66" t="s">
        <v>136</v>
      </c>
      <c r="J66" t="s">
        <v>137</v>
      </c>
      <c r="K66" s="3">
        <v>49.184199999999997</v>
      </c>
      <c r="L66" s="3">
        <v>15.4528</v>
      </c>
    </row>
    <row r="67" spans="1:12" x14ac:dyDescent="0.35">
      <c r="A67" t="s">
        <v>323</v>
      </c>
      <c r="B67" t="s">
        <v>85</v>
      </c>
      <c r="C67" t="s">
        <v>180</v>
      </c>
      <c r="D67" t="s">
        <v>29</v>
      </c>
      <c r="E67" t="s">
        <v>324</v>
      </c>
      <c r="F67" t="s">
        <v>325</v>
      </c>
      <c r="G67" s="2">
        <v>28316</v>
      </c>
      <c r="H67" s="2">
        <v>45115</v>
      </c>
      <c r="I67" t="s">
        <v>163</v>
      </c>
      <c r="J67" t="s">
        <v>90</v>
      </c>
      <c r="K67" s="3">
        <v>50.533499999999997</v>
      </c>
      <c r="L67" s="3">
        <v>14.1318</v>
      </c>
    </row>
    <row r="68" spans="1:12" x14ac:dyDescent="0.35">
      <c r="A68" t="s">
        <v>326</v>
      </c>
      <c r="B68" t="s">
        <v>153</v>
      </c>
      <c r="C68" t="s">
        <v>208</v>
      </c>
      <c r="D68" t="s">
        <v>29</v>
      </c>
      <c r="E68" t="s">
        <v>327</v>
      </c>
      <c r="F68" t="s">
        <v>328</v>
      </c>
      <c r="G68" s="2">
        <v>33154</v>
      </c>
      <c r="H68" s="2">
        <v>45145</v>
      </c>
      <c r="I68" t="s">
        <v>150</v>
      </c>
      <c r="J68" t="s">
        <v>151</v>
      </c>
      <c r="K68" s="3">
        <v>50.766300000000001</v>
      </c>
      <c r="L68" s="3">
        <v>15.0543</v>
      </c>
    </row>
    <row r="69" spans="1:12" x14ac:dyDescent="0.35">
      <c r="A69" t="s">
        <v>329</v>
      </c>
      <c r="B69" t="s">
        <v>212</v>
      </c>
      <c r="C69" t="s">
        <v>213</v>
      </c>
      <c r="D69" t="s">
        <v>15</v>
      </c>
      <c r="E69" t="s">
        <v>330</v>
      </c>
      <c r="F69" t="s">
        <v>331</v>
      </c>
      <c r="G69" s="2">
        <v>32116</v>
      </c>
      <c r="H69" s="2">
        <v>45164</v>
      </c>
      <c r="I69" t="s">
        <v>318</v>
      </c>
      <c r="J69" t="s">
        <v>144</v>
      </c>
      <c r="K69" s="3">
        <v>50.147300000000001</v>
      </c>
      <c r="L69" s="3">
        <v>14.1029</v>
      </c>
    </row>
    <row r="70" spans="1:12" x14ac:dyDescent="0.35">
      <c r="A70" t="s">
        <v>332</v>
      </c>
      <c r="B70" t="s">
        <v>254</v>
      </c>
      <c r="C70" t="s">
        <v>333</v>
      </c>
      <c r="D70" t="s">
        <v>29</v>
      </c>
      <c r="E70" t="s">
        <v>334</v>
      </c>
      <c r="F70" t="s">
        <v>335</v>
      </c>
      <c r="G70" s="2">
        <v>32513</v>
      </c>
      <c r="H70" s="2">
        <v>45173</v>
      </c>
      <c r="I70" t="s">
        <v>18</v>
      </c>
      <c r="J70" t="s">
        <v>18</v>
      </c>
      <c r="K70" s="3">
        <v>50.075499999999998</v>
      </c>
      <c r="L70" s="3">
        <v>14.437799999999999</v>
      </c>
    </row>
    <row r="71" spans="1:12" x14ac:dyDescent="0.35">
      <c r="A71" t="s">
        <v>336</v>
      </c>
      <c r="B71" t="s">
        <v>337</v>
      </c>
      <c r="C71" t="s">
        <v>217</v>
      </c>
      <c r="D71" t="s">
        <v>15</v>
      </c>
      <c r="E71" t="s">
        <v>338</v>
      </c>
      <c r="F71" t="s">
        <v>339</v>
      </c>
      <c r="G71" s="2">
        <v>27292</v>
      </c>
      <c r="H71" s="2">
        <v>45197</v>
      </c>
      <c r="I71" t="s">
        <v>89</v>
      </c>
      <c r="J71" t="s">
        <v>90</v>
      </c>
      <c r="K71" s="3">
        <v>50.660699999999999</v>
      </c>
      <c r="L71" s="3">
        <v>14.032299999999999</v>
      </c>
    </row>
    <row r="72" spans="1:12" x14ac:dyDescent="0.35">
      <c r="A72" t="s">
        <v>340</v>
      </c>
      <c r="B72" t="s">
        <v>225</v>
      </c>
      <c r="C72" t="s">
        <v>246</v>
      </c>
      <c r="D72" t="s">
        <v>15</v>
      </c>
      <c r="E72" t="s">
        <v>341</v>
      </c>
      <c r="F72" t="s">
        <v>342</v>
      </c>
      <c r="G72" s="2">
        <v>37315</v>
      </c>
      <c r="H72" s="2">
        <v>45204</v>
      </c>
      <c r="I72" t="s">
        <v>318</v>
      </c>
      <c r="J72" t="s">
        <v>144</v>
      </c>
      <c r="K72" s="3">
        <v>50.147300000000001</v>
      </c>
      <c r="L72" s="3">
        <v>14.1029</v>
      </c>
    </row>
    <row r="73" spans="1:12" x14ac:dyDescent="0.35">
      <c r="A73" t="s">
        <v>343</v>
      </c>
      <c r="B73" t="s">
        <v>344</v>
      </c>
      <c r="C73" t="s">
        <v>111</v>
      </c>
      <c r="D73" t="s">
        <v>15</v>
      </c>
      <c r="E73" t="s">
        <v>345</v>
      </c>
      <c r="F73" t="s">
        <v>346</v>
      </c>
      <c r="G73" s="2">
        <v>21827</v>
      </c>
      <c r="H73" s="2">
        <v>45229</v>
      </c>
      <c r="I73" t="s">
        <v>18</v>
      </c>
      <c r="J73" t="s">
        <v>18</v>
      </c>
      <c r="K73" s="3">
        <v>50.075499999999998</v>
      </c>
      <c r="L73" s="3">
        <v>14.437799999999999</v>
      </c>
    </row>
    <row r="74" spans="1:12" x14ac:dyDescent="0.35">
      <c r="A74" t="s">
        <v>347</v>
      </c>
      <c r="B74" t="s">
        <v>78</v>
      </c>
      <c r="C74" t="s">
        <v>264</v>
      </c>
      <c r="D74" t="s">
        <v>15</v>
      </c>
      <c r="E74" t="s">
        <v>348</v>
      </c>
      <c r="F74" t="s">
        <v>349</v>
      </c>
      <c r="G74" s="2">
        <v>36167</v>
      </c>
      <c r="H74" s="2">
        <v>45234</v>
      </c>
      <c r="I74" t="s">
        <v>350</v>
      </c>
      <c r="J74" t="s">
        <v>76</v>
      </c>
      <c r="K74" s="3">
        <v>49.414400000000001</v>
      </c>
      <c r="L74" s="3">
        <v>14.6578</v>
      </c>
    </row>
    <row r="75" spans="1:12" x14ac:dyDescent="0.35">
      <c r="A75" t="s">
        <v>351</v>
      </c>
      <c r="B75" t="s">
        <v>27</v>
      </c>
      <c r="C75" t="s">
        <v>352</v>
      </c>
      <c r="D75" t="s">
        <v>29</v>
      </c>
      <c r="E75" t="s">
        <v>353</v>
      </c>
      <c r="F75" t="s">
        <v>354</v>
      </c>
      <c r="G75" s="2">
        <v>35869</v>
      </c>
      <c r="H75" s="2">
        <v>45235</v>
      </c>
      <c r="I75" t="s">
        <v>24</v>
      </c>
      <c r="J75" t="s">
        <v>25</v>
      </c>
      <c r="K75" s="3">
        <v>49.195099999999996</v>
      </c>
      <c r="L75" s="3">
        <v>16.6068</v>
      </c>
    </row>
    <row r="76" spans="1:12" x14ac:dyDescent="0.35">
      <c r="A76" t="s">
        <v>355</v>
      </c>
      <c r="B76" t="s">
        <v>356</v>
      </c>
      <c r="C76" t="s">
        <v>300</v>
      </c>
      <c r="D76" t="s">
        <v>29</v>
      </c>
      <c r="E76" t="s">
        <v>357</v>
      </c>
      <c r="F76" t="s">
        <v>358</v>
      </c>
      <c r="G76" s="2">
        <v>23310</v>
      </c>
      <c r="H76" s="2">
        <v>45245</v>
      </c>
      <c r="I76" t="s">
        <v>42</v>
      </c>
      <c r="J76" t="s">
        <v>43</v>
      </c>
      <c r="K76" s="3">
        <v>49.820900000000002</v>
      </c>
      <c r="L76" s="3">
        <v>18.262499999999999</v>
      </c>
    </row>
    <row r="77" spans="1:12" x14ac:dyDescent="0.35">
      <c r="A77" t="s">
        <v>359</v>
      </c>
      <c r="B77" t="s">
        <v>360</v>
      </c>
      <c r="C77" t="s">
        <v>361</v>
      </c>
      <c r="D77" t="s">
        <v>15</v>
      </c>
      <c r="E77" t="s">
        <v>362</v>
      </c>
      <c r="F77" t="s">
        <v>363</v>
      </c>
      <c r="G77" s="2">
        <v>34205</v>
      </c>
      <c r="H77" s="2">
        <v>45248</v>
      </c>
      <c r="I77" t="s">
        <v>49</v>
      </c>
      <c r="J77" t="s">
        <v>50</v>
      </c>
      <c r="K77" s="3">
        <v>49.738399999999999</v>
      </c>
      <c r="L77" s="3">
        <v>13.3736</v>
      </c>
    </row>
    <row r="78" spans="1:12" x14ac:dyDescent="0.35">
      <c r="A78" t="s">
        <v>364</v>
      </c>
      <c r="B78" t="s">
        <v>85</v>
      </c>
      <c r="C78" t="s">
        <v>185</v>
      </c>
      <c r="D78" t="s">
        <v>29</v>
      </c>
      <c r="E78" t="s">
        <v>365</v>
      </c>
      <c r="F78" t="s">
        <v>366</v>
      </c>
      <c r="G78" s="2">
        <v>31615</v>
      </c>
      <c r="H78" s="2">
        <v>45248</v>
      </c>
      <c r="I78" t="s">
        <v>350</v>
      </c>
      <c r="J78" t="s">
        <v>76</v>
      </c>
      <c r="K78" s="3">
        <v>49.414400000000001</v>
      </c>
      <c r="L78" s="3">
        <v>14.6578</v>
      </c>
    </row>
    <row r="79" spans="1:12" x14ac:dyDescent="0.35">
      <c r="A79" t="s">
        <v>367</v>
      </c>
      <c r="B79" t="s">
        <v>52</v>
      </c>
      <c r="C79" t="s">
        <v>287</v>
      </c>
      <c r="D79" t="s">
        <v>15</v>
      </c>
      <c r="E79" t="s">
        <v>368</v>
      </c>
      <c r="F79" t="s">
        <v>369</v>
      </c>
      <c r="G79" s="2">
        <v>35441</v>
      </c>
      <c r="H79" s="2">
        <v>45250</v>
      </c>
      <c r="I79" t="s">
        <v>238</v>
      </c>
      <c r="J79" t="s">
        <v>137</v>
      </c>
      <c r="K79" s="3">
        <v>49.396099999999997</v>
      </c>
      <c r="L79" s="3">
        <v>15.591200000000001</v>
      </c>
    </row>
    <row r="80" spans="1:12" x14ac:dyDescent="0.35">
      <c r="A80" t="s">
        <v>370</v>
      </c>
      <c r="B80" t="s">
        <v>184</v>
      </c>
      <c r="C80" t="s">
        <v>34</v>
      </c>
      <c r="D80" t="s">
        <v>29</v>
      </c>
      <c r="E80" t="s">
        <v>371</v>
      </c>
      <c r="F80" t="s">
        <v>372</v>
      </c>
      <c r="G80" s="2">
        <v>20633</v>
      </c>
      <c r="H80" s="2">
        <v>45252</v>
      </c>
      <c r="I80" t="s">
        <v>24</v>
      </c>
      <c r="J80" t="s">
        <v>25</v>
      </c>
      <c r="K80" s="3">
        <v>49.195099999999996</v>
      </c>
      <c r="L80" s="3">
        <v>16.6068</v>
      </c>
    </row>
    <row r="81" spans="1:12" x14ac:dyDescent="0.35">
      <c r="A81" t="s">
        <v>373</v>
      </c>
      <c r="B81" t="s">
        <v>212</v>
      </c>
      <c r="C81" t="s">
        <v>194</v>
      </c>
      <c r="D81" t="s">
        <v>15</v>
      </c>
      <c r="E81" t="s">
        <v>374</v>
      </c>
      <c r="F81" t="s">
        <v>375</v>
      </c>
      <c r="G81" s="2">
        <v>32679</v>
      </c>
      <c r="H81" s="2">
        <v>45270</v>
      </c>
      <c r="I81" t="s">
        <v>169</v>
      </c>
      <c r="J81" t="s">
        <v>83</v>
      </c>
      <c r="K81" s="3">
        <v>49.297899999999998</v>
      </c>
      <c r="L81" s="3">
        <v>17.3931</v>
      </c>
    </row>
    <row r="82" spans="1:12" x14ac:dyDescent="0.35">
      <c r="A82" t="s">
        <v>376</v>
      </c>
      <c r="B82" t="s">
        <v>344</v>
      </c>
      <c r="C82" t="s">
        <v>377</v>
      </c>
      <c r="D82" t="s">
        <v>15</v>
      </c>
      <c r="E82" t="s">
        <v>378</v>
      </c>
      <c r="F82" t="s">
        <v>379</v>
      </c>
      <c r="G82" s="2">
        <v>22888</v>
      </c>
      <c r="H82" s="2">
        <v>45278</v>
      </c>
      <c r="I82" t="s">
        <v>18</v>
      </c>
      <c r="J82" t="s">
        <v>18</v>
      </c>
      <c r="K82" s="3">
        <v>50.075499999999998</v>
      </c>
      <c r="L82" s="3">
        <v>14.437799999999999</v>
      </c>
    </row>
    <row r="83" spans="1:12" x14ac:dyDescent="0.35">
      <c r="A83" t="s">
        <v>380</v>
      </c>
      <c r="B83" t="s">
        <v>225</v>
      </c>
      <c r="C83" t="s">
        <v>172</v>
      </c>
      <c r="D83" t="s">
        <v>15</v>
      </c>
      <c r="E83" t="s">
        <v>381</v>
      </c>
      <c r="F83" t="s">
        <v>382</v>
      </c>
      <c r="G83" s="2">
        <v>30522</v>
      </c>
      <c r="H83" s="2">
        <v>45279</v>
      </c>
      <c r="I83" t="s">
        <v>24</v>
      </c>
      <c r="J83" t="s">
        <v>25</v>
      </c>
      <c r="K83" s="3">
        <v>49.195099999999996</v>
      </c>
      <c r="L83" s="3">
        <v>16.6068</v>
      </c>
    </row>
    <row r="84" spans="1:12" x14ac:dyDescent="0.35">
      <c r="A84" t="s">
        <v>383</v>
      </c>
      <c r="B84" t="s">
        <v>52</v>
      </c>
      <c r="C84" t="s">
        <v>384</v>
      </c>
      <c r="D84" t="s">
        <v>15</v>
      </c>
      <c r="E84" t="s">
        <v>385</v>
      </c>
      <c r="F84" t="s">
        <v>386</v>
      </c>
      <c r="G84" s="2">
        <v>37432</v>
      </c>
      <c r="H84" s="2">
        <v>45292</v>
      </c>
      <c r="I84" t="s">
        <v>387</v>
      </c>
      <c r="J84" t="s">
        <v>130</v>
      </c>
      <c r="K84" s="3">
        <v>50.079599999999999</v>
      </c>
      <c r="L84" s="3">
        <v>12.373900000000001</v>
      </c>
    </row>
    <row r="85" spans="1:12" x14ac:dyDescent="0.35">
      <c r="A85" t="s">
        <v>388</v>
      </c>
      <c r="B85" t="s">
        <v>240</v>
      </c>
      <c r="C85" t="s">
        <v>389</v>
      </c>
      <c r="D85" t="s">
        <v>15</v>
      </c>
      <c r="E85" t="s">
        <v>390</v>
      </c>
      <c r="F85" t="s">
        <v>391</v>
      </c>
      <c r="G85" s="2">
        <v>35554</v>
      </c>
      <c r="H85" s="2">
        <v>45311</v>
      </c>
      <c r="I85" t="s">
        <v>75</v>
      </c>
      <c r="J85" t="s">
        <v>76</v>
      </c>
      <c r="K85" s="3">
        <v>48.974499999999999</v>
      </c>
      <c r="L85" s="3">
        <v>14.474299999999999</v>
      </c>
    </row>
    <row r="86" spans="1:12" x14ac:dyDescent="0.35">
      <c r="A86" t="s">
        <v>392</v>
      </c>
      <c r="B86" t="s">
        <v>356</v>
      </c>
      <c r="C86" t="s">
        <v>60</v>
      </c>
      <c r="D86" t="s">
        <v>29</v>
      </c>
      <c r="E86" t="s">
        <v>393</v>
      </c>
      <c r="F86" t="s">
        <v>394</v>
      </c>
      <c r="G86" s="2">
        <v>31931</v>
      </c>
      <c r="H86" s="2">
        <v>45312</v>
      </c>
      <c r="I86" t="s">
        <v>18</v>
      </c>
      <c r="J86" t="s">
        <v>18</v>
      </c>
      <c r="K86" s="3">
        <v>50.075499999999998</v>
      </c>
      <c r="L86" s="3">
        <v>14.437799999999999</v>
      </c>
    </row>
    <row r="87" spans="1:12" x14ac:dyDescent="0.35">
      <c r="A87" t="s">
        <v>395</v>
      </c>
      <c r="B87" t="s">
        <v>171</v>
      </c>
      <c r="C87" t="s">
        <v>396</v>
      </c>
      <c r="D87" t="s">
        <v>15</v>
      </c>
      <c r="E87" t="s">
        <v>397</v>
      </c>
      <c r="F87" t="s">
        <v>398</v>
      </c>
      <c r="G87" s="2">
        <v>21860</v>
      </c>
      <c r="H87" s="2">
        <v>45341</v>
      </c>
      <c r="I87" t="s">
        <v>68</v>
      </c>
      <c r="J87" t="s">
        <v>69</v>
      </c>
      <c r="K87" s="3">
        <v>49.593800000000002</v>
      </c>
      <c r="L87" s="3">
        <v>17.250900000000001</v>
      </c>
    </row>
    <row r="88" spans="1:12" x14ac:dyDescent="0.35">
      <c r="A88" t="s">
        <v>399</v>
      </c>
      <c r="B88" t="s">
        <v>400</v>
      </c>
      <c r="C88" t="s">
        <v>333</v>
      </c>
      <c r="D88" t="s">
        <v>29</v>
      </c>
      <c r="E88" t="s">
        <v>401</v>
      </c>
      <c r="F88" t="s">
        <v>402</v>
      </c>
      <c r="G88" s="2">
        <v>22023</v>
      </c>
      <c r="H88" s="2">
        <v>45347</v>
      </c>
      <c r="I88" t="s">
        <v>89</v>
      </c>
      <c r="J88" t="s">
        <v>90</v>
      </c>
      <c r="K88" s="3">
        <v>50.660699999999999</v>
      </c>
      <c r="L88" s="3">
        <v>14.032299999999999</v>
      </c>
    </row>
    <row r="89" spans="1:12" x14ac:dyDescent="0.35">
      <c r="A89" t="s">
        <v>403</v>
      </c>
      <c r="B89" t="s">
        <v>245</v>
      </c>
      <c r="C89" t="s">
        <v>213</v>
      </c>
      <c r="D89" t="s">
        <v>15</v>
      </c>
      <c r="E89" t="s">
        <v>404</v>
      </c>
      <c r="F89" t="s">
        <v>405</v>
      </c>
      <c r="G89" s="2">
        <v>28001</v>
      </c>
      <c r="H89" s="2">
        <v>45352</v>
      </c>
      <c r="I89" t="s">
        <v>89</v>
      </c>
      <c r="J89" t="s">
        <v>90</v>
      </c>
      <c r="K89" s="3">
        <v>50.660699999999999</v>
      </c>
      <c r="L89" s="3">
        <v>14.032299999999999</v>
      </c>
    </row>
    <row r="90" spans="1:12" x14ac:dyDescent="0.35">
      <c r="A90" t="s">
        <v>406</v>
      </c>
      <c r="B90" t="s">
        <v>202</v>
      </c>
      <c r="C90" t="s">
        <v>407</v>
      </c>
      <c r="D90" t="s">
        <v>29</v>
      </c>
      <c r="E90" t="s">
        <v>408</v>
      </c>
      <c r="F90" t="s">
        <v>409</v>
      </c>
      <c r="G90" s="2">
        <v>23186</v>
      </c>
      <c r="H90" s="2">
        <v>45369</v>
      </c>
      <c r="I90" t="s">
        <v>238</v>
      </c>
      <c r="J90" t="s">
        <v>137</v>
      </c>
      <c r="K90" s="3">
        <v>49.396099999999997</v>
      </c>
      <c r="L90" s="3">
        <v>15.591200000000001</v>
      </c>
    </row>
    <row r="91" spans="1:12" x14ac:dyDescent="0.35">
      <c r="A91" t="s">
        <v>410</v>
      </c>
      <c r="B91" t="s">
        <v>411</v>
      </c>
      <c r="C91" t="s">
        <v>300</v>
      </c>
      <c r="D91" t="s">
        <v>29</v>
      </c>
      <c r="E91" t="s">
        <v>412</v>
      </c>
      <c r="F91" t="s">
        <v>413</v>
      </c>
      <c r="G91" s="2">
        <v>26200</v>
      </c>
      <c r="H91" s="2">
        <v>45382</v>
      </c>
      <c r="I91" t="s">
        <v>18</v>
      </c>
      <c r="J91" t="s">
        <v>18</v>
      </c>
      <c r="K91" s="3">
        <v>50.075499999999998</v>
      </c>
      <c r="L91" s="3">
        <v>14.437799999999999</v>
      </c>
    </row>
    <row r="92" spans="1:12" x14ac:dyDescent="0.35">
      <c r="A92" t="s">
        <v>414</v>
      </c>
      <c r="B92" t="s">
        <v>291</v>
      </c>
      <c r="C92" t="s">
        <v>208</v>
      </c>
      <c r="D92" t="s">
        <v>29</v>
      </c>
      <c r="E92" t="s">
        <v>415</v>
      </c>
      <c r="F92" t="s">
        <v>416</v>
      </c>
      <c r="G92" s="2">
        <v>22960</v>
      </c>
      <c r="H92" s="2">
        <v>45407</v>
      </c>
      <c r="I92" t="s">
        <v>417</v>
      </c>
      <c r="J92" t="s">
        <v>57</v>
      </c>
      <c r="K92" s="3">
        <v>50.561</v>
      </c>
      <c r="L92" s="3">
        <v>15.912699999999999</v>
      </c>
    </row>
    <row r="93" spans="1:12" x14ac:dyDescent="0.35">
      <c r="A93" t="s">
        <v>418</v>
      </c>
      <c r="B93" t="s">
        <v>411</v>
      </c>
      <c r="C93" t="s">
        <v>407</v>
      </c>
      <c r="D93" t="s">
        <v>29</v>
      </c>
      <c r="E93" t="s">
        <v>419</v>
      </c>
      <c r="F93" t="s">
        <v>420</v>
      </c>
      <c r="G93" s="2">
        <v>37751</v>
      </c>
      <c r="H93" s="2">
        <v>45409</v>
      </c>
      <c r="I93" t="s">
        <v>318</v>
      </c>
      <c r="J93" t="s">
        <v>144</v>
      </c>
      <c r="K93" s="3">
        <v>50.147300000000001</v>
      </c>
      <c r="L93" s="3">
        <v>14.1029</v>
      </c>
    </row>
    <row r="94" spans="1:12" x14ac:dyDescent="0.35">
      <c r="A94" t="s">
        <v>421</v>
      </c>
      <c r="B94" t="s">
        <v>33</v>
      </c>
      <c r="C94" t="s">
        <v>422</v>
      </c>
      <c r="D94" t="s">
        <v>29</v>
      </c>
      <c r="E94" t="s">
        <v>423</v>
      </c>
      <c r="F94" t="s">
        <v>424</v>
      </c>
      <c r="G94" s="2">
        <v>38303</v>
      </c>
      <c r="H94" s="2">
        <v>45457</v>
      </c>
      <c r="I94" t="s">
        <v>56</v>
      </c>
      <c r="J94" t="s">
        <v>57</v>
      </c>
      <c r="K94" s="3">
        <v>50.2104</v>
      </c>
      <c r="L94" s="3">
        <v>15.832700000000001</v>
      </c>
    </row>
    <row r="95" spans="1:12" x14ac:dyDescent="0.35">
      <c r="A95" t="s">
        <v>425</v>
      </c>
      <c r="B95" t="s">
        <v>184</v>
      </c>
      <c r="C95" t="s">
        <v>180</v>
      </c>
      <c r="D95" t="s">
        <v>29</v>
      </c>
      <c r="E95" t="s">
        <v>426</v>
      </c>
      <c r="F95" t="s">
        <v>427</v>
      </c>
      <c r="G95" s="2">
        <v>31177</v>
      </c>
      <c r="H95" s="2">
        <v>45480</v>
      </c>
      <c r="I95" t="s">
        <v>24</v>
      </c>
      <c r="J95" t="s">
        <v>25</v>
      </c>
      <c r="K95" s="3">
        <v>49.195099999999996</v>
      </c>
      <c r="L95" s="3">
        <v>16.6068</v>
      </c>
    </row>
    <row r="96" spans="1:12" x14ac:dyDescent="0.35">
      <c r="A96" t="s">
        <v>428</v>
      </c>
      <c r="B96" t="s">
        <v>202</v>
      </c>
      <c r="C96" t="s">
        <v>46</v>
      </c>
      <c r="D96" t="s">
        <v>29</v>
      </c>
      <c r="E96" t="s">
        <v>429</v>
      </c>
      <c r="F96" t="s">
        <v>430</v>
      </c>
      <c r="G96" s="2">
        <v>38082</v>
      </c>
      <c r="H96" s="2">
        <v>45488</v>
      </c>
      <c r="I96" t="s">
        <v>24</v>
      </c>
      <c r="J96" t="s">
        <v>25</v>
      </c>
      <c r="K96" s="3">
        <v>49.195099999999996</v>
      </c>
      <c r="L96" s="3">
        <v>16.6068</v>
      </c>
    </row>
    <row r="97" spans="1:12" x14ac:dyDescent="0.35">
      <c r="A97" t="s">
        <v>431</v>
      </c>
      <c r="B97" t="s">
        <v>432</v>
      </c>
      <c r="C97" t="s">
        <v>241</v>
      </c>
      <c r="D97" t="s">
        <v>15</v>
      </c>
      <c r="E97" t="s">
        <v>433</v>
      </c>
      <c r="F97" t="s">
        <v>434</v>
      </c>
      <c r="G97" s="2">
        <v>37144</v>
      </c>
      <c r="H97" s="2">
        <v>45500</v>
      </c>
      <c r="I97" t="s">
        <v>18</v>
      </c>
      <c r="J97" t="s">
        <v>18</v>
      </c>
      <c r="K97" s="3">
        <v>50.075499999999998</v>
      </c>
      <c r="L97" s="3">
        <v>14.437799999999999</v>
      </c>
    </row>
    <row r="98" spans="1:12" x14ac:dyDescent="0.35">
      <c r="A98" t="s">
        <v>435</v>
      </c>
      <c r="B98" t="s">
        <v>171</v>
      </c>
      <c r="C98" t="s">
        <v>278</v>
      </c>
      <c r="D98" t="s">
        <v>15</v>
      </c>
      <c r="E98" t="s">
        <v>436</v>
      </c>
      <c r="F98" t="s">
        <v>437</v>
      </c>
      <c r="G98" s="2">
        <v>33636</v>
      </c>
      <c r="H98" s="2">
        <v>45505</v>
      </c>
      <c r="I98" t="s">
        <v>18</v>
      </c>
      <c r="J98" t="s">
        <v>18</v>
      </c>
      <c r="K98" s="3">
        <v>50.075499999999998</v>
      </c>
      <c r="L98" s="3">
        <v>14.437799999999999</v>
      </c>
    </row>
    <row r="99" spans="1:12" x14ac:dyDescent="0.35">
      <c r="A99" t="s">
        <v>438</v>
      </c>
      <c r="B99" t="s">
        <v>234</v>
      </c>
      <c r="C99" t="s">
        <v>34</v>
      </c>
      <c r="D99" t="s">
        <v>29</v>
      </c>
      <c r="E99" t="s">
        <v>439</v>
      </c>
      <c r="F99" t="s">
        <v>440</v>
      </c>
      <c r="G99" s="2">
        <v>33936</v>
      </c>
      <c r="H99" s="2">
        <v>45513</v>
      </c>
      <c r="I99" t="s">
        <v>18</v>
      </c>
      <c r="J99" t="s">
        <v>18</v>
      </c>
      <c r="K99" s="3">
        <v>50.075499999999998</v>
      </c>
      <c r="L99" s="3">
        <v>14.437799999999999</v>
      </c>
    </row>
    <row r="100" spans="1:12" x14ac:dyDescent="0.35">
      <c r="A100" t="s">
        <v>441</v>
      </c>
      <c r="B100" t="s">
        <v>299</v>
      </c>
      <c r="C100" t="s">
        <v>442</v>
      </c>
      <c r="D100" t="s">
        <v>29</v>
      </c>
      <c r="E100" t="s">
        <v>443</v>
      </c>
      <c r="F100" t="s">
        <v>444</v>
      </c>
      <c r="G100" s="2">
        <v>33034</v>
      </c>
      <c r="H100" s="2">
        <v>45518</v>
      </c>
      <c r="I100" t="s">
        <v>42</v>
      </c>
      <c r="J100" t="s">
        <v>43</v>
      </c>
      <c r="K100" s="3">
        <v>49.820900000000002</v>
      </c>
      <c r="L100" s="3">
        <v>18.262499999999999</v>
      </c>
    </row>
    <row r="101" spans="1:12" x14ac:dyDescent="0.35">
      <c r="A101" t="s">
        <v>445</v>
      </c>
      <c r="B101" t="s">
        <v>291</v>
      </c>
      <c r="C101" t="s">
        <v>221</v>
      </c>
      <c r="D101" t="s">
        <v>29</v>
      </c>
      <c r="E101" t="s">
        <v>446</v>
      </c>
      <c r="F101" t="s">
        <v>447</v>
      </c>
      <c r="G101" s="2">
        <v>32260</v>
      </c>
      <c r="H101" s="2">
        <v>45528</v>
      </c>
      <c r="I101" t="s">
        <v>18</v>
      </c>
      <c r="J101" t="s">
        <v>18</v>
      </c>
      <c r="K101" s="3">
        <v>50.075499999999998</v>
      </c>
      <c r="L101" s="3">
        <v>14.437799999999999</v>
      </c>
    </row>
    <row r="102" spans="1:12" x14ac:dyDescent="0.35">
      <c r="A102" t="s">
        <v>448</v>
      </c>
      <c r="B102" t="s">
        <v>344</v>
      </c>
      <c r="C102" t="s">
        <v>449</v>
      </c>
      <c r="D102" t="s">
        <v>15</v>
      </c>
      <c r="E102" t="s">
        <v>450</v>
      </c>
      <c r="F102" t="s">
        <v>451</v>
      </c>
      <c r="G102" s="2">
        <v>31101</v>
      </c>
      <c r="H102" s="2">
        <v>45528</v>
      </c>
      <c r="I102" t="s">
        <v>56</v>
      </c>
      <c r="J102" t="s">
        <v>57</v>
      </c>
      <c r="K102" s="3">
        <v>50.2104</v>
      </c>
      <c r="L102" s="3">
        <v>15.832700000000001</v>
      </c>
    </row>
    <row r="103" spans="1:12" x14ac:dyDescent="0.35">
      <c r="A103" t="s">
        <v>452</v>
      </c>
      <c r="B103" t="s">
        <v>356</v>
      </c>
      <c r="C103" t="s">
        <v>422</v>
      </c>
      <c r="D103" t="s">
        <v>29</v>
      </c>
      <c r="E103" t="s">
        <v>453</v>
      </c>
      <c r="F103" t="s">
        <v>454</v>
      </c>
      <c r="G103" s="2">
        <v>24582</v>
      </c>
      <c r="H103" s="2">
        <v>45539</v>
      </c>
      <c r="I103" t="s">
        <v>24</v>
      </c>
      <c r="J103" t="s">
        <v>25</v>
      </c>
      <c r="K103" s="3">
        <v>49.195099999999996</v>
      </c>
      <c r="L103" s="3">
        <v>16.6068</v>
      </c>
    </row>
    <row r="104" spans="1:12" x14ac:dyDescent="0.35">
      <c r="A104" t="s">
        <v>455</v>
      </c>
      <c r="B104" t="s">
        <v>153</v>
      </c>
      <c r="C104" t="s">
        <v>300</v>
      </c>
      <c r="D104" t="s">
        <v>29</v>
      </c>
      <c r="E104" t="s">
        <v>456</v>
      </c>
      <c r="F104" t="s">
        <v>457</v>
      </c>
      <c r="G104" s="2">
        <v>30318</v>
      </c>
      <c r="H104" s="2">
        <v>45592</v>
      </c>
      <c r="I104" t="s">
        <v>458</v>
      </c>
      <c r="J104" t="s">
        <v>69</v>
      </c>
      <c r="K104" s="3">
        <v>49.471899999999998</v>
      </c>
      <c r="L104" s="3">
        <v>17.111799999999999</v>
      </c>
    </row>
    <row r="105" spans="1:12" x14ac:dyDescent="0.35">
      <c r="A105" t="s">
        <v>459</v>
      </c>
      <c r="B105" t="s">
        <v>78</v>
      </c>
      <c r="C105" t="s">
        <v>53</v>
      </c>
      <c r="D105" t="s">
        <v>15</v>
      </c>
      <c r="E105" t="s">
        <v>460</v>
      </c>
      <c r="F105" t="s">
        <v>461</v>
      </c>
      <c r="G105" s="2">
        <v>29167</v>
      </c>
      <c r="H105" s="2">
        <v>45593</v>
      </c>
      <c r="I105" t="s">
        <v>42</v>
      </c>
      <c r="J105" t="s">
        <v>43</v>
      </c>
      <c r="K105" s="3">
        <v>49.820900000000002</v>
      </c>
      <c r="L105" s="3">
        <v>18.262499999999999</v>
      </c>
    </row>
    <row r="106" spans="1:12" x14ac:dyDescent="0.35">
      <c r="A106" t="s">
        <v>462</v>
      </c>
      <c r="B106" t="s">
        <v>400</v>
      </c>
      <c r="C106" t="s">
        <v>442</v>
      </c>
      <c r="D106" t="s">
        <v>29</v>
      </c>
      <c r="E106" t="s">
        <v>463</v>
      </c>
      <c r="F106" t="s">
        <v>464</v>
      </c>
      <c r="G106" s="2">
        <v>29425</v>
      </c>
      <c r="H106" s="2">
        <v>45601</v>
      </c>
      <c r="I106" t="s">
        <v>24</v>
      </c>
      <c r="J106" t="s">
        <v>25</v>
      </c>
      <c r="K106" s="3">
        <v>49.195099999999996</v>
      </c>
      <c r="L106" s="3">
        <v>16.6068</v>
      </c>
    </row>
    <row r="107" spans="1:12" x14ac:dyDescent="0.35">
      <c r="A107" t="s">
        <v>465</v>
      </c>
      <c r="B107" t="s">
        <v>299</v>
      </c>
      <c r="C107" t="s">
        <v>235</v>
      </c>
      <c r="D107" t="s">
        <v>29</v>
      </c>
      <c r="E107" t="s">
        <v>466</v>
      </c>
      <c r="F107" t="s">
        <v>467</v>
      </c>
      <c r="G107" s="2">
        <v>35667</v>
      </c>
      <c r="H107" s="2">
        <v>45613</v>
      </c>
      <c r="I107" t="s">
        <v>150</v>
      </c>
      <c r="J107" t="s">
        <v>151</v>
      </c>
      <c r="K107" s="3">
        <v>50.766300000000001</v>
      </c>
      <c r="L107" s="3">
        <v>15.0543</v>
      </c>
    </row>
    <row r="108" spans="1:12" x14ac:dyDescent="0.35">
      <c r="A108" t="s">
        <v>468</v>
      </c>
      <c r="B108" t="s">
        <v>469</v>
      </c>
      <c r="C108" t="s">
        <v>246</v>
      </c>
      <c r="D108" t="s">
        <v>15</v>
      </c>
      <c r="E108" t="s">
        <v>470</v>
      </c>
      <c r="F108" t="s">
        <v>471</v>
      </c>
      <c r="G108" s="2">
        <v>28473</v>
      </c>
      <c r="H108" s="2">
        <v>45631</v>
      </c>
      <c r="I108" t="s">
        <v>42</v>
      </c>
      <c r="J108" t="s">
        <v>43</v>
      </c>
      <c r="K108" s="3">
        <v>49.820900000000002</v>
      </c>
      <c r="L108" s="3">
        <v>18.262499999999999</v>
      </c>
    </row>
    <row r="109" spans="1:12" x14ac:dyDescent="0.35">
      <c r="A109" t="s">
        <v>472</v>
      </c>
      <c r="B109" t="s">
        <v>78</v>
      </c>
      <c r="C109" t="s">
        <v>194</v>
      </c>
      <c r="D109" t="s">
        <v>15</v>
      </c>
      <c r="E109" t="s">
        <v>473</v>
      </c>
      <c r="F109" t="s">
        <v>474</v>
      </c>
      <c r="G109" s="2">
        <v>28124</v>
      </c>
      <c r="H109" s="2">
        <v>45636</v>
      </c>
      <c r="I109" t="s">
        <v>68</v>
      </c>
      <c r="J109" t="s">
        <v>69</v>
      </c>
      <c r="K109" s="3">
        <v>49.593800000000002</v>
      </c>
      <c r="L109" s="3">
        <v>17.250900000000001</v>
      </c>
    </row>
    <row r="110" spans="1:12" x14ac:dyDescent="0.35">
      <c r="A110" t="s">
        <v>475</v>
      </c>
      <c r="B110" t="s">
        <v>207</v>
      </c>
      <c r="C110" t="s">
        <v>476</v>
      </c>
      <c r="D110" t="s">
        <v>29</v>
      </c>
      <c r="E110" t="s">
        <v>477</v>
      </c>
      <c r="F110" t="s">
        <v>478</v>
      </c>
      <c r="G110" s="2">
        <v>21720</v>
      </c>
      <c r="H110" s="2">
        <v>45640</v>
      </c>
      <c r="I110" t="s">
        <v>24</v>
      </c>
      <c r="J110" t="s">
        <v>25</v>
      </c>
      <c r="K110" s="3">
        <v>49.195099999999996</v>
      </c>
      <c r="L110" s="3">
        <v>16.6068</v>
      </c>
    </row>
    <row r="111" spans="1:12" x14ac:dyDescent="0.35">
      <c r="A111" t="s">
        <v>479</v>
      </c>
      <c r="B111" t="s">
        <v>245</v>
      </c>
      <c r="C111" t="s">
        <v>361</v>
      </c>
      <c r="D111" t="s">
        <v>15</v>
      </c>
      <c r="E111" t="s">
        <v>480</v>
      </c>
      <c r="F111" t="s">
        <v>481</v>
      </c>
      <c r="G111" s="2">
        <v>36707</v>
      </c>
      <c r="H111" s="2">
        <v>45644</v>
      </c>
      <c r="I111" t="s">
        <v>150</v>
      </c>
      <c r="J111" t="s">
        <v>151</v>
      </c>
      <c r="K111" s="3">
        <v>50.766300000000001</v>
      </c>
      <c r="L111" s="3">
        <v>15.0543</v>
      </c>
    </row>
    <row r="112" spans="1:12" x14ac:dyDescent="0.35">
      <c r="A112" t="s">
        <v>482</v>
      </c>
      <c r="B112" t="s">
        <v>33</v>
      </c>
      <c r="C112" t="s">
        <v>235</v>
      </c>
      <c r="D112" t="s">
        <v>29</v>
      </c>
      <c r="E112" t="s">
        <v>483</v>
      </c>
      <c r="F112" t="s">
        <v>484</v>
      </c>
      <c r="G112" s="2">
        <v>26565</v>
      </c>
      <c r="H112" s="2">
        <v>45647</v>
      </c>
      <c r="I112" t="s">
        <v>18</v>
      </c>
      <c r="J112" t="s">
        <v>18</v>
      </c>
      <c r="K112" s="3">
        <v>50.075499999999998</v>
      </c>
      <c r="L112" s="3">
        <v>14.437799999999999</v>
      </c>
    </row>
    <row r="113" spans="1:12" x14ac:dyDescent="0.35">
      <c r="A113" t="s">
        <v>485</v>
      </c>
      <c r="B113" t="s">
        <v>202</v>
      </c>
      <c r="C113" t="s">
        <v>176</v>
      </c>
      <c r="D113" t="s">
        <v>29</v>
      </c>
      <c r="E113" t="s">
        <v>486</v>
      </c>
      <c r="F113" t="s">
        <v>487</v>
      </c>
      <c r="G113" s="2">
        <v>36919</v>
      </c>
      <c r="H113" s="2">
        <v>45657</v>
      </c>
      <c r="I113" t="s">
        <v>157</v>
      </c>
      <c r="J113" t="s">
        <v>158</v>
      </c>
      <c r="K113" s="3">
        <v>50.034300000000002</v>
      </c>
      <c r="L113" s="3">
        <v>15.7812</v>
      </c>
    </row>
    <row r="114" spans="1:12" x14ac:dyDescent="0.35">
      <c r="A114" t="s">
        <v>488</v>
      </c>
      <c r="B114" t="s">
        <v>360</v>
      </c>
      <c r="C114" t="s">
        <v>217</v>
      </c>
      <c r="D114" t="s">
        <v>15</v>
      </c>
      <c r="E114" t="s">
        <v>489</v>
      </c>
      <c r="F114" t="s">
        <v>490</v>
      </c>
      <c r="G114" s="2">
        <v>31823</v>
      </c>
      <c r="H114" s="2">
        <v>45659</v>
      </c>
      <c r="I114" t="s">
        <v>18</v>
      </c>
      <c r="J114" t="s">
        <v>18</v>
      </c>
      <c r="K114" s="3">
        <v>50.075499999999998</v>
      </c>
      <c r="L114" s="3">
        <v>14.437799999999999</v>
      </c>
    </row>
    <row r="115" spans="1:12" x14ac:dyDescent="0.35">
      <c r="A115" t="s">
        <v>491</v>
      </c>
      <c r="B115" t="s">
        <v>271</v>
      </c>
      <c r="C115" t="s">
        <v>60</v>
      </c>
      <c r="D115" t="s">
        <v>29</v>
      </c>
      <c r="E115" t="s">
        <v>492</v>
      </c>
      <c r="F115" t="s">
        <v>493</v>
      </c>
      <c r="G115" s="2">
        <v>23053</v>
      </c>
      <c r="H115" s="2">
        <v>45666</v>
      </c>
      <c r="I115" t="s">
        <v>157</v>
      </c>
      <c r="J115" t="s">
        <v>158</v>
      </c>
      <c r="K115" s="3">
        <v>50.034300000000002</v>
      </c>
      <c r="L115" s="3">
        <v>15.7812</v>
      </c>
    </row>
    <row r="116" spans="1:12" x14ac:dyDescent="0.35">
      <c r="A116" t="s">
        <v>494</v>
      </c>
      <c r="B116" t="s">
        <v>411</v>
      </c>
      <c r="C116" t="s">
        <v>495</v>
      </c>
      <c r="D116" t="s">
        <v>29</v>
      </c>
      <c r="E116" t="s">
        <v>496</v>
      </c>
      <c r="F116" t="s">
        <v>497</v>
      </c>
      <c r="G116" s="2">
        <v>32234</v>
      </c>
      <c r="H116" s="2">
        <v>45672</v>
      </c>
      <c r="I116" t="s">
        <v>42</v>
      </c>
      <c r="J116" t="s">
        <v>43</v>
      </c>
      <c r="K116" s="3">
        <v>49.820900000000002</v>
      </c>
      <c r="L116" s="3">
        <v>18.262499999999999</v>
      </c>
    </row>
    <row r="117" spans="1:12" x14ac:dyDescent="0.35">
      <c r="A117" t="s">
        <v>498</v>
      </c>
      <c r="B117" t="s">
        <v>20</v>
      </c>
      <c r="C117" t="s">
        <v>499</v>
      </c>
      <c r="D117" t="s">
        <v>15</v>
      </c>
      <c r="E117" t="s">
        <v>500</v>
      </c>
      <c r="F117" t="s">
        <v>501</v>
      </c>
      <c r="G117" s="2">
        <v>26042</v>
      </c>
      <c r="H117" s="2">
        <v>45713</v>
      </c>
      <c r="I117" t="s">
        <v>163</v>
      </c>
      <c r="J117" t="s">
        <v>90</v>
      </c>
      <c r="K117" s="3">
        <v>50.533499999999997</v>
      </c>
      <c r="L117" s="3">
        <v>14.1318</v>
      </c>
    </row>
    <row r="118" spans="1:12" x14ac:dyDescent="0.35">
      <c r="A118" t="s">
        <v>502</v>
      </c>
      <c r="B118" t="s">
        <v>115</v>
      </c>
      <c r="C118" t="s">
        <v>384</v>
      </c>
      <c r="D118" t="s">
        <v>15</v>
      </c>
      <c r="E118" t="s">
        <v>503</v>
      </c>
      <c r="F118" t="s">
        <v>504</v>
      </c>
      <c r="G118" s="2">
        <v>31660</v>
      </c>
      <c r="H118" s="2">
        <v>45725</v>
      </c>
      <c r="I118" t="s">
        <v>42</v>
      </c>
      <c r="J118" t="s">
        <v>43</v>
      </c>
      <c r="K118" s="3">
        <v>49.820900000000002</v>
      </c>
      <c r="L118" s="3">
        <v>18.262499999999999</v>
      </c>
    </row>
    <row r="119" spans="1:12" x14ac:dyDescent="0.35">
      <c r="A119" t="s">
        <v>505</v>
      </c>
      <c r="B119" t="s">
        <v>304</v>
      </c>
      <c r="C119" t="s">
        <v>46</v>
      </c>
      <c r="D119" t="s">
        <v>29</v>
      </c>
      <c r="E119" t="s">
        <v>506</v>
      </c>
      <c r="F119" t="s">
        <v>507</v>
      </c>
      <c r="G119" s="2">
        <v>32504</v>
      </c>
      <c r="H119" s="2">
        <v>45782</v>
      </c>
      <c r="I119" t="s">
        <v>75</v>
      </c>
      <c r="J119" t="s">
        <v>76</v>
      </c>
      <c r="K119" s="3">
        <v>48.974499999999999</v>
      </c>
      <c r="L119" s="3">
        <v>14.474299999999999</v>
      </c>
    </row>
    <row r="120" spans="1:12" x14ac:dyDescent="0.35">
      <c r="A120" t="s">
        <v>508</v>
      </c>
      <c r="B120" t="s">
        <v>254</v>
      </c>
      <c r="C120" t="s">
        <v>509</v>
      </c>
      <c r="D120" t="s">
        <v>29</v>
      </c>
      <c r="E120" t="s">
        <v>510</v>
      </c>
      <c r="F120" t="s">
        <v>511</v>
      </c>
      <c r="G120" s="2">
        <v>27338</v>
      </c>
      <c r="H120" s="2">
        <v>45797</v>
      </c>
      <c r="I120" t="s">
        <v>56</v>
      </c>
      <c r="J120" t="s">
        <v>57</v>
      </c>
      <c r="K120" s="3">
        <v>50.2104</v>
      </c>
      <c r="L120" s="3">
        <v>15.832700000000001</v>
      </c>
    </row>
    <row r="121" spans="1:12" x14ac:dyDescent="0.35">
      <c r="A121" t="s">
        <v>512</v>
      </c>
      <c r="B121" t="s">
        <v>202</v>
      </c>
      <c r="C121" t="s">
        <v>407</v>
      </c>
      <c r="D121" t="s">
        <v>29</v>
      </c>
      <c r="E121" t="s">
        <v>513</v>
      </c>
      <c r="F121" t="s">
        <v>514</v>
      </c>
      <c r="G121" s="2">
        <v>26750</v>
      </c>
      <c r="H121" s="2">
        <v>45798</v>
      </c>
      <c r="I121" t="s">
        <v>24</v>
      </c>
      <c r="J121" t="s">
        <v>25</v>
      </c>
      <c r="K121" s="3">
        <v>49.195099999999996</v>
      </c>
      <c r="L121" s="3">
        <v>16.6068</v>
      </c>
    </row>
    <row r="122" spans="1:12" x14ac:dyDescent="0.35">
      <c r="A122" t="s">
        <v>515</v>
      </c>
      <c r="B122" t="s">
        <v>225</v>
      </c>
      <c r="C122" t="s">
        <v>516</v>
      </c>
      <c r="D122" t="s">
        <v>15</v>
      </c>
      <c r="E122" t="s">
        <v>517</v>
      </c>
      <c r="F122" t="s">
        <v>518</v>
      </c>
      <c r="G122" s="2">
        <v>26242</v>
      </c>
      <c r="H122" s="2">
        <v>45798</v>
      </c>
      <c r="I122" t="s">
        <v>49</v>
      </c>
      <c r="J122" t="s">
        <v>50</v>
      </c>
      <c r="K122" s="3">
        <v>49.738399999999999</v>
      </c>
      <c r="L122" s="3">
        <v>13.3736</v>
      </c>
    </row>
    <row r="123" spans="1:12" x14ac:dyDescent="0.35">
      <c r="A123" t="s">
        <v>519</v>
      </c>
      <c r="B123" t="s">
        <v>344</v>
      </c>
      <c r="C123" t="s">
        <v>520</v>
      </c>
      <c r="D123" t="s">
        <v>15</v>
      </c>
      <c r="E123" t="s">
        <v>521</v>
      </c>
      <c r="F123" t="s">
        <v>522</v>
      </c>
      <c r="G123" s="2">
        <v>28313</v>
      </c>
      <c r="H123" s="2">
        <v>45799</v>
      </c>
      <c r="I123" t="s">
        <v>18</v>
      </c>
      <c r="J123" t="s">
        <v>18</v>
      </c>
      <c r="K123" s="3">
        <v>50.075499999999998</v>
      </c>
      <c r="L123" s="3">
        <v>14.437799999999999</v>
      </c>
    </row>
    <row r="124" spans="1:12" x14ac:dyDescent="0.35">
      <c r="A124" t="s">
        <v>523</v>
      </c>
      <c r="B124" t="s">
        <v>27</v>
      </c>
      <c r="C124" t="s">
        <v>524</v>
      </c>
      <c r="D124" t="s">
        <v>29</v>
      </c>
      <c r="E124" t="s">
        <v>525</v>
      </c>
      <c r="F124" t="s">
        <v>526</v>
      </c>
      <c r="G124" s="2">
        <v>34059</v>
      </c>
      <c r="H124" s="2">
        <v>45803</v>
      </c>
      <c r="I124" t="s">
        <v>18</v>
      </c>
      <c r="J124" t="s">
        <v>18</v>
      </c>
      <c r="K124" s="3">
        <v>50.075499999999998</v>
      </c>
      <c r="L124" s="3">
        <v>14.437799999999999</v>
      </c>
    </row>
    <row r="125" spans="1:12" x14ac:dyDescent="0.35">
      <c r="A125" t="s">
        <v>527</v>
      </c>
      <c r="B125" t="s">
        <v>184</v>
      </c>
      <c r="C125" t="s">
        <v>203</v>
      </c>
      <c r="D125" t="s">
        <v>29</v>
      </c>
      <c r="E125" t="s">
        <v>528</v>
      </c>
      <c r="F125" t="s">
        <v>529</v>
      </c>
      <c r="G125" s="2">
        <v>30102</v>
      </c>
      <c r="H125" s="2">
        <v>45834</v>
      </c>
      <c r="I125" t="s">
        <v>143</v>
      </c>
      <c r="J125" t="s">
        <v>144</v>
      </c>
      <c r="K125" s="3">
        <v>49.948399999999999</v>
      </c>
      <c r="L125" s="3">
        <v>15.2682</v>
      </c>
    </row>
    <row r="126" spans="1:12" x14ac:dyDescent="0.35">
      <c r="A126" t="s">
        <v>530</v>
      </c>
      <c r="B126" t="s">
        <v>411</v>
      </c>
      <c r="C126" t="s">
        <v>509</v>
      </c>
      <c r="D126" t="s">
        <v>29</v>
      </c>
      <c r="E126" t="s">
        <v>531</v>
      </c>
      <c r="F126" t="s">
        <v>532</v>
      </c>
      <c r="G126" s="2">
        <v>31672</v>
      </c>
      <c r="H126" s="2">
        <v>45849</v>
      </c>
      <c r="I126" t="s">
        <v>68</v>
      </c>
      <c r="J126" t="s">
        <v>69</v>
      </c>
      <c r="K126" s="3">
        <v>49.593800000000002</v>
      </c>
      <c r="L126" s="3">
        <v>17.250900000000001</v>
      </c>
    </row>
    <row r="127" spans="1:12" x14ac:dyDescent="0.35">
      <c r="A127" t="s">
        <v>533</v>
      </c>
      <c r="B127" t="s">
        <v>225</v>
      </c>
      <c r="C127" t="s">
        <v>534</v>
      </c>
      <c r="D127" t="s">
        <v>15</v>
      </c>
      <c r="E127" t="s">
        <v>535</v>
      </c>
      <c r="F127" t="s">
        <v>536</v>
      </c>
      <c r="G127" s="2">
        <v>29907</v>
      </c>
      <c r="H127" s="2">
        <v>45862</v>
      </c>
      <c r="I127" t="s">
        <v>24</v>
      </c>
      <c r="J127" t="s">
        <v>25</v>
      </c>
      <c r="K127" s="3">
        <v>49.195099999999996</v>
      </c>
      <c r="L127" s="3">
        <v>16.6068</v>
      </c>
    </row>
    <row r="128" spans="1:12" x14ac:dyDescent="0.35">
      <c r="A128" t="s">
        <v>537</v>
      </c>
      <c r="B128" t="s">
        <v>337</v>
      </c>
      <c r="C128" t="s">
        <v>534</v>
      </c>
      <c r="D128" t="s">
        <v>15</v>
      </c>
      <c r="E128" t="s">
        <v>538</v>
      </c>
      <c r="F128" t="s">
        <v>539</v>
      </c>
      <c r="G128" s="2">
        <v>27403</v>
      </c>
      <c r="H128" s="2">
        <v>45867</v>
      </c>
      <c r="I128" t="s">
        <v>18</v>
      </c>
      <c r="J128" t="s">
        <v>18</v>
      </c>
      <c r="K128" s="3">
        <v>50.075499999999998</v>
      </c>
      <c r="L128" s="3">
        <v>14.437799999999999</v>
      </c>
    </row>
    <row r="129" spans="1:12" x14ac:dyDescent="0.35">
      <c r="A129" t="s">
        <v>540</v>
      </c>
      <c r="B129" t="s">
        <v>400</v>
      </c>
      <c r="C129" t="s">
        <v>34</v>
      </c>
      <c r="D129" t="s">
        <v>29</v>
      </c>
      <c r="E129" t="s">
        <v>541</v>
      </c>
      <c r="F129" t="s">
        <v>542</v>
      </c>
      <c r="G129" s="2">
        <v>24882</v>
      </c>
      <c r="H129" s="2">
        <v>45870</v>
      </c>
      <c r="I129" t="s">
        <v>24</v>
      </c>
      <c r="J129" t="s">
        <v>25</v>
      </c>
      <c r="K129" s="3">
        <v>49.195099999999996</v>
      </c>
      <c r="L129" s="3">
        <v>16.6068</v>
      </c>
    </row>
    <row r="130" spans="1:12" x14ac:dyDescent="0.35">
      <c r="A130" t="s">
        <v>543</v>
      </c>
      <c r="B130" t="s">
        <v>78</v>
      </c>
      <c r="C130" t="s">
        <v>544</v>
      </c>
      <c r="D130" t="s">
        <v>15</v>
      </c>
      <c r="E130" t="s">
        <v>545</v>
      </c>
      <c r="F130" t="s">
        <v>546</v>
      </c>
      <c r="G130" s="2">
        <v>22861</v>
      </c>
      <c r="H130" s="2">
        <v>45872</v>
      </c>
      <c r="I130" t="s">
        <v>350</v>
      </c>
      <c r="J130" t="s">
        <v>76</v>
      </c>
      <c r="K130" s="3">
        <v>49.414400000000001</v>
      </c>
      <c r="L130" s="3">
        <v>14.6578</v>
      </c>
    </row>
    <row r="131" spans="1:12" x14ac:dyDescent="0.35">
      <c r="A131" t="s">
        <v>547</v>
      </c>
      <c r="B131" t="s">
        <v>260</v>
      </c>
      <c r="C131" t="s">
        <v>264</v>
      </c>
      <c r="D131" t="s">
        <v>15</v>
      </c>
      <c r="E131" t="s">
        <v>548</v>
      </c>
      <c r="F131" t="s">
        <v>549</v>
      </c>
      <c r="G131" s="2">
        <v>37566</v>
      </c>
      <c r="H131" s="2">
        <v>45882</v>
      </c>
      <c r="I131" t="s">
        <v>18</v>
      </c>
      <c r="J131" t="s">
        <v>18</v>
      </c>
      <c r="K131" s="3">
        <v>50.075499999999998</v>
      </c>
      <c r="L131" s="3">
        <v>14.437799999999999</v>
      </c>
    </row>
    <row r="132" spans="1:12" x14ac:dyDescent="0.35">
      <c r="A132" t="s">
        <v>550</v>
      </c>
      <c r="B132" t="s">
        <v>85</v>
      </c>
      <c r="C132" t="s">
        <v>235</v>
      </c>
      <c r="D132" t="s">
        <v>29</v>
      </c>
      <c r="E132" t="s">
        <v>551</v>
      </c>
      <c r="F132" t="s">
        <v>552</v>
      </c>
      <c r="G132" s="2">
        <v>28577</v>
      </c>
      <c r="H132" s="2">
        <v>45887</v>
      </c>
      <c r="I132" t="s">
        <v>318</v>
      </c>
      <c r="J132" t="s">
        <v>144</v>
      </c>
      <c r="K132" s="3">
        <v>50.147300000000001</v>
      </c>
      <c r="L132" s="3">
        <v>14.1029</v>
      </c>
    </row>
    <row r="133" spans="1:12" x14ac:dyDescent="0.35">
      <c r="A133" t="s">
        <v>553</v>
      </c>
      <c r="B133" t="s">
        <v>360</v>
      </c>
      <c r="C133" t="s">
        <v>396</v>
      </c>
      <c r="D133" t="s">
        <v>15</v>
      </c>
      <c r="E133" t="s">
        <v>554</v>
      </c>
      <c r="F133" t="s">
        <v>555</v>
      </c>
      <c r="G133" s="2">
        <v>24146</v>
      </c>
      <c r="H133" s="2">
        <v>45907</v>
      </c>
      <c r="I133" t="s">
        <v>42</v>
      </c>
      <c r="J133" t="s">
        <v>43</v>
      </c>
      <c r="K133" s="3">
        <v>49.820900000000002</v>
      </c>
      <c r="L133" s="3">
        <v>18.262499999999999</v>
      </c>
    </row>
    <row r="134" spans="1:12" x14ac:dyDescent="0.35">
      <c r="A134" t="s">
        <v>556</v>
      </c>
      <c r="B134" t="s">
        <v>33</v>
      </c>
      <c r="C134" t="s">
        <v>476</v>
      </c>
      <c r="D134" t="s">
        <v>29</v>
      </c>
      <c r="E134" t="s">
        <v>557</v>
      </c>
      <c r="F134" t="s">
        <v>558</v>
      </c>
      <c r="G134" s="2">
        <v>23499</v>
      </c>
      <c r="H134" s="2">
        <v>45910</v>
      </c>
      <c r="I134" t="s">
        <v>18</v>
      </c>
      <c r="J134" t="s">
        <v>18</v>
      </c>
      <c r="K134" s="3">
        <v>50.075499999999998</v>
      </c>
      <c r="L134" s="3">
        <v>14.437799999999999</v>
      </c>
    </row>
    <row r="135" spans="1:12" x14ac:dyDescent="0.35">
      <c r="A135" t="s">
        <v>559</v>
      </c>
      <c r="B135" t="s">
        <v>260</v>
      </c>
      <c r="C135" t="s">
        <v>264</v>
      </c>
      <c r="D135" t="s">
        <v>15</v>
      </c>
      <c r="E135" t="s">
        <v>560</v>
      </c>
      <c r="F135" t="s">
        <v>561</v>
      </c>
      <c r="G135" s="2">
        <v>31995</v>
      </c>
      <c r="H135" s="2">
        <v>45916</v>
      </c>
      <c r="I135" t="s">
        <v>18</v>
      </c>
      <c r="J135" t="s">
        <v>18</v>
      </c>
      <c r="K135" s="3">
        <v>50.075499999999998</v>
      </c>
      <c r="L135" s="3">
        <v>14.437799999999999</v>
      </c>
    </row>
    <row r="136" spans="1:12" x14ac:dyDescent="0.35">
      <c r="A136" t="s">
        <v>562</v>
      </c>
      <c r="B136" t="s">
        <v>212</v>
      </c>
      <c r="C136" t="s">
        <v>396</v>
      </c>
      <c r="D136" t="s">
        <v>15</v>
      </c>
      <c r="E136" t="s">
        <v>563</v>
      </c>
      <c r="F136" t="s">
        <v>564</v>
      </c>
      <c r="G136" s="2">
        <v>24792</v>
      </c>
      <c r="H136" s="2">
        <v>45941</v>
      </c>
      <c r="I136" t="s">
        <v>42</v>
      </c>
      <c r="J136" t="s">
        <v>43</v>
      </c>
      <c r="K136" s="3">
        <v>49.820900000000002</v>
      </c>
      <c r="L136" s="3">
        <v>18.262499999999999</v>
      </c>
    </row>
    <row r="137" spans="1:12" x14ac:dyDescent="0.35">
      <c r="A137" t="s">
        <v>565</v>
      </c>
      <c r="B137" t="s">
        <v>566</v>
      </c>
      <c r="C137" t="s">
        <v>509</v>
      </c>
      <c r="D137" t="s">
        <v>29</v>
      </c>
      <c r="E137" t="s">
        <v>567</v>
      </c>
      <c r="F137" t="s">
        <v>568</v>
      </c>
      <c r="G137" s="2">
        <v>25900</v>
      </c>
      <c r="H137" s="2">
        <v>45943</v>
      </c>
      <c r="I137" t="s">
        <v>258</v>
      </c>
      <c r="J137" t="s">
        <v>144</v>
      </c>
      <c r="K137" s="3">
        <v>50.4114</v>
      </c>
      <c r="L137" s="3">
        <v>14.9032</v>
      </c>
    </row>
    <row r="138" spans="1:12" x14ac:dyDescent="0.35">
      <c r="A138" t="s">
        <v>569</v>
      </c>
      <c r="B138" t="s">
        <v>282</v>
      </c>
      <c r="C138" t="s">
        <v>176</v>
      </c>
      <c r="D138" t="s">
        <v>29</v>
      </c>
      <c r="E138" t="s">
        <v>570</v>
      </c>
      <c r="F138" t="s">
        <v>571</v>
      </c>
      <c r="G138" s="2">
        <v>22588</v>
      </c>
      <c r="H138" s="2">
        <v>45949</v>
      </c>
      <c r="I138" t="s">
        <v>157</v>
      </c>
      <c r="J138" t="s">
        <v>158</v>
      </c>
      <c r="K138" s="3">
        <v>50.034300000000002</v>
      </c>
      <c r="L138" s="3">
        <v>15.7812</v>
      </c>
    </row>
    <row r="139" spans="1:12" x14ac:dyDescent="0.35">
      <c r="A139" t="s">
        <v>572</v>
      </c>
      <c r="B139" t="s">
        <v>13</v>
      </c>
      <c r="C139" t="s">
        <v>241</v>
      </c>
      <c r="D139" t="s">
        <v>15</v>
      </c>
      <c r="E139" t="s">
        <v>573</v>
      </c>
      <c r="F139" t="s">
        <v>574</v>
      </c>
      <c r="G139" s="2">
        <v>23949</v>
      </c>
      <c r="H139" s="2">
        <v>45994</v>
      </c>
      <c r="I139" t="s">
        <v>56</v>
      </c>
      <c r="J139" t="s">
        <v>57</v>
      </c>
      <c r="K139" s="3">
        <v>50.2104</v>
      </c>
      <c r="L139" s="3">
        <v>15.832700000000001</v>
      </c>
    </row>
    <row r="140" spans="1:12" x14ac:dyDescent="0.35">
      <c r="A140" t="s">
        <v>575</v>
      </c>
      <c r="B140" t="s">
        <v>27</v>
      </c>
      <c r="C140" t="s">
        <v>495</v>
      </c>
      <c r="D140" t="s">
        <v>29</v>
      </c>
      <c r="E140" t="s">
        <v>576</v>
      </c>
      <c r="F140" t="s">
        <v>577</v>
      </c>
      <c r="G140" s="2">
        <v>22614</v>
      </c>
      <c r="H140" s="2">
        <v>46010</v>
      </c>
      <c r="I140" t="s">
        <v>24</v>
      </c>
      <c r="J140" t="s">
        <v>25</v>
      </c>
      <c r="K140" s="3">
        <v>49.195099999999996</v>
      </c>
      <c r="L140" s="3">
        <v>16.6068</v>
      </c>
    </row>
    <row r="141" spans="1:12" x14ac:dyDescent="0.35">
      <c r="A141" t="s">
        <v>578</v>
      </c>
      <c r="B141" t="s">
        <v>411</v>
      </c>
      <c r="C141" t="s">
        <v>180</v>
      </c>
      <c r="D141" t="s">
        <v>29</v>
      </c>
      <c r="E141" t="s">
        <v>579</v>
      </c>
      <c r="F141" t="s">
        <v>580</v>
      </c>
      <c r="G141" s="2">
        <v>22282</v>
      </c>
      <c r="H141" s="2">
        <v>46020</v>
      </c>
      <c r="I141" t="s">
        <v>75</v>
      </c>
      <c r="J141" t="s">
        <v>76</v>
      </c>
      <c r="K141" s="3">
        <v>48.974499999999999</v>
      </c>
      <c r="L141" s="3">
        <v>14.474299999999999</v>
      </c>
    </row>
    <row r="142" spans="1:12" x14ac:dyDescent="0.35">
      <c r="A142" t="s">
        <v>581</v>
      </c>
      <c r="B142" t="s">
        <v>27</v>
      </c>
      <c r="C142" t="s">
        <v>60</v>
      </c>
      <c r="D142" t="s">
        <v>29</v>
      </c>
      <c r="E142" t="s">
        <v>582</v>
      </c>
      <c r="F142" t="s">
        <v>583</v>
      </c>
      <c r="G142" s="2">
        <v>26938</v>
      </c>
      <c r="H142" s="2">
        <v>46033</v>
      </c>
      <c r="I142" t="s">
        <v>18</v>
      </c>
      <c r="J142" t="s">
        <v>18</v>
      </c>
      <c r="K142" s="3">
        <v>50.075499999999998</v>
      </c>
      <c r="L142" s="3">
        <v>14.437799999999999</v>
      </c>
    </row>
    <row r="143" spans="1:12" x14ac:dyDescent="0.35">
      <c r="A143" t="s">
        <v>584</v>
      </c>
      <c r="B143" t="s">
        <v>469</v>
      </c>
      <c r="C143" t="s">
        <v>516</v>
      </c>
      <c r="D143" t="s">
        <v>15</v>
      </c>
      <c r="E143" t="s">
        <v>585</v>
      </c>
      <c r="F143" t="s">
        <v>586</v>
      </c>
      <c r="G143" s="2">
        <v>24177</v>
      </c>
      <c r="H143" s="2">
        <v>46035</v>
      </c>
      <c r="I143" t="s">
        <v>18</v>
      </c>
      <c r="J143" t="s">
        <v>18</v>
      </c>
      <c r="K143" s="3">
        <v>50.075499999999998</v>
      </c>
      <c r="L143" s="3">
        <v>14.437799999999999</v>
      </c>
    </row>
    <row r="144" spans="1:12" x14ac:dyDescent="0.35">
      <c r="A144" t="s">
        <v>587</v>
      </c>
      <c r="B144" t="s">
        <v>432</v>
      </c>
      <c r="C144" t="s">
        <v>534</v>
      </c>
      <c r="D144" t="s">
        <v>15</v>
      </c>
      <c r="E144" t="s">
        <v>588</v>
      </c>
      <c r="F144" t="s">
        <v>589</v>
      </c>
      <c r="G144" s="2">
        <v>35526</v>
      </c>
      <c r="H144" s="2">
        <v>46037</v>
      </c>
      <c r="I144" t="s">
        <v>49</v>
      </c>
      <c r="J144" t="s">
        <v>50</v>
      </c>
      <c r="K144" s="3">
        <v>49.738399999999999</v>
      </c>
      <c r="L144" s="3">
        <v>13.3736</v>
      </c>
    </row>
    <row r="145" spans="1:12" x14ac:dyDescent="0.35">
      <c r="A145" t="s">
        <v>590</v>
      </c>
      <c r="B145" t="s">
        <v>85</v>
      </c>
      <c r="C145" t="s">
        <v>509</v>
      </c>
      <c r="D145" t="s">
        <v>29</v>
      </c>
      <c r="E145" t="s">
        <v>591</v>
      </c>
      <c r="F145" t="s">
        <v>592</v>
      </c>
      <c r="G145" s="2">
        <v>30147</v>
      </c>
      <c r="H145" s="2">
        <v>46040</v>
      </c>
      <c r="I145" t="s">
        <v>18</v>
      </c>
      <c r="J145" t="s">
        <v>18</v>
      </c>
      <c r="K145" s="3">
        <v>50.075499999999998</v>
      </c>
      <c r="L145" s="3">
        <v>14.437799999999999</v>
      </c>
    </row>
    <row r="146" spans="1:12" x14ac:dyDescent="0.35">
      <c r="A146" t="s">
        <v>593</v>
      </c>
      <c r="B146" t="s">
        <v>356</v>
      </c>
      <c r="C146" t="s">
        <v>407</v>
      </c>
      <c r="D146" t="s">
        <v>29</v>
      </c>
      <c r="E146" t="s">
        <v>594</v>
      </c>
      <c r="F146" t="s">
        <v>595</v>
      </c>
      <c r="G146" s="2">
        <v>34349</v>
      </c>
      <c r="H146" s="2">
        <v>46082</v>
      </c>
      <c r="I146" t="s">
        <v>18</v>
      </c>
      <c r="J146" t="s">
        <v>18</v>
      </c>
      <c r="K146" s="3">
        <v>50.075499999999998</v>
      </c>
      <c r="L146" s="3">
        <v>14.437799999999999</v>
      </c>
    </row>
    <row r="147" spans="1:12" x14ac:dyDescent="0.35">
      <c r="A147" t="s">
        <v>596</v>
      </c>
      <c r="B147" t="s">
        <v>291</v>
      </c>
      <c r="C147" t="s">
        <v>442</v>
      </c>
      <c r="D147" t="s">
        <v>29</v>
      </c>
      <c r="E147" t="s">
        <v>597</v>
      </c>
      <c r="F147" t="s">
        <v>598</v>
      </c>
      <c r="G147" s="2">
        <v>27499</v>
      </c>
      <c r="H147" s="2">
        <v>46085</v>
      </c>
      <c r="I147" t="s">
        <v>18</v>
      </c>
      <c r="J147" t="s">
        <v>18</v>
      </c>
      <c r="K147" s="3">
        <v>50.075499999999998</v>
      </c>
      <c r="L147" s="3">
        <v>14.437799999999999</v>
      </c>
    </row>
    <row r="148" spans="1:12" x14ac:dyDescent="0.35">
      <c r="A148" t="s">
        <v>599</v>
      </c>
      <c r="B148" t="s">
        <v>20</v>
      </c>
      <c r="C148" t="s">
        <v>600</v>
      </c>
      <c r="D148" t="s">
        <v>15</v>
      </c>
      <c r="E148" t="s">
        <v>601</v>
      </c>
      <c r="F148" t="s">
        <v>602</v>
      </c>
      <c r="G148" s="2">
        <v>29952</v>
      </c>
      <c r="H148" s="2">
        <v>46103</v>
      </c>
      <c r="I148" t="s">
        <v>24</v>
      </c>
      <c r="J148" t="s">
        <v>25</v>
      </c>
      <c r="K148" s="3">
        <v>49.195099999999996</v>
      </c>
      <c r="L148" s="3">
        <v>16.6068</v>
      </c>
    </row>
    <row r="149" spans="1:12" x14ac:dyDescent="0.35">
      <c r="A149" t="s">
        <v>603</v>
      </c>
      <c r="B149" t="s">
        <v>299</v>
      </c>
      <c r="C149" t="s">
        <v>176</v>
      </c>
      <c r="D149" t="s">
        <v>29</v>
      </c>
      <c r="E149" t="s">
        <v>604</v>
      </c>
      <c r="F149" t="s">
        <v>605</v>
      </c>
      <c r="G149" s="2">
        <v>29276</v>
      </c>
      <c r="H149" s="2">
        <v>46114</v>
      </c>
      <c r="I149" t="s">
        <v>49</v>
      </c>
      <c r="J149" t="s">
        <v>50</v>
      </c>
      <c r="K149" s="3">
        <v>49.738399999999999</v>
      </c>
      <c r="L149" s="3">
        <v>13.3736</v>
      </c>
    </row>
    <row r="150" spans="1:12" x14ac:dyDescent="0.35">
      <c r="A150" t="s">
        <v>606</v>
      </c>
      <c r="B150" t="s">
        <v>282</v>
      </c>
      <c r="C150" t="s">
        <v>235</v>
      </c>
      <c r="D150" t="s">
        <v>29</v>
      </c>
      <c r="E150" t="s">
        <v>607</v>
      </c>
      <c r="F150" t="s">
        <v>608</v>
      </c>
      <c r="G150" s="2">
        <v>26970</v>
      </c>
      <c r="H150" s="2">
        <v>46118</v>
      </c>
      <c r="I150" t="s">
        <v>24</v>
      </c>
      <c r="J150" t="s">
        <v>25</v>
      </c>
      <c r="K150" s="3">
        <v>49.195099999999996</v>
      </c>
      <c r="L150" s="3">
        <v>16.6068</v>
      </c>
    </row>
    <row r="151" spans="1:12" x14ac:dyDescent="0.35">
      <c r="A151" t="s">
        <v>609</v>
      </c>
      <c r="B151" t="s">
        <v>234</v>
      </c>
      <c r="C151" t="s">
        <v>255</v>
      </c>
      <c r="D151" t="s">
        <v>29</v>
      </c>
      <c r="E151" t="s">
        <v>610</v>
      </c>
      <c r="F151" t="s">
        <v>611</v>
      </c>
      <c r="G151" s="2">
        <v>36393</v>
      </c>
      <c r="H151" s="2">
        <v>46130</v>
      </c>
      <c r="I151" t="s">
        <v>143</v>
      </c>
      <c r="J151" t="s">
        <v>144</v>
      </c>
      <c r="K151" s="3">
        <v>49.948399999999999</v>
      </c>
      <c r="L151" s="3">
        <v>15.2682</v>
      </c>
    </row>
    <row r="152" spans="1:12" x14ac:dyDescent="0.35">
      <c r="A152" t="s">
        <v>612</v>
      </c>
      <c r="B152" t="s">
        <v>299</v>
      </c>
      <c r="C152" t="s">
        <v>60</v>
      </c>
      <c r="D152" t="s">
        <v>29</v>
      </c>
      <c r="E152" t="s">
        <v>613</v>
      </c>
      <c r="F152" t="s">
        <v>614</v>
      </c>
      <c r="G152" s="2">
        <v>22786</v>
      </c>
      <c r="H152" s="2">
        <v>46156</v>
      </c>
      <c r="I152" t="s">
        <v>18</v>
      </c>
      <c r="J152" t="s">
        <v>18</v>
      </c>
      <c r="K152" s="3">
        <v>50.075499999999998</v>
      </c>
      <c r="L152" s="3">
        <v>14.437799999999999</v>
      </c>
    </row>
    <row r="153" spans="1:12" x14ac:dyDescent="0.35">
      <c r="A153" t="s">
        <v>615</v>
      </c>
      <c r="B153" t="s">
        <v>360</v>
      </c>
      <c r="C153" t="s">
        <v>384</v>
      </c>
      <c r="D153" t="s">
        <v>15</v>
      </c>
      <c r="E153" t="s">
        <v>616</v>
      </c>
      <c r="F153" t="s">
        <v>617</v>
      </c>
      <c r="G153" s="2">
        <v>27505</v>
      </c>
      <c r="H153" s="2">
        <v>46163</v>
      </c>
      <c r="I153" t="s">
        <v>285</v>
      </c>
      <c r="J153" t="s">
        <v>90</v>
      </c>
      <c r="K153" s="3">
        <v>50.6404</v>
      </c>
      <c r="L153" s="3">
        <v>13.8245</v>
      </c>
    </row>
    <row r="154" spans="1:12" x14ac:dyDescent="0.35">
      <c r="A154" t="s">
        <v>618</v>
      </c>
      <c r="B154" t="s">
        <v>344</v>
      </c>
      <c r="C154" t="s">
        <v>250</v>
      </c>
      <c r="D154" t="s">
        <v>15</v>
      </c>
      <c r="E154" t="s">
        <v>619</v>
      </c>
      <c r="F154" t="s">
        <v>620</v>
      </c>
      <c r="G154" s="2">
        <v>34200</v>
      </c>
      <c r="H154" s="2">
        <v>46168</v>
      </c>
      <c r="I154" t="s">
        <v>129</v>
      </c>
      <c r="J154" t="s">
        <v>130</v>
      </c>
      <c r="K154" s="3">
        <v>50.231900000000003</v>
      </c>
      <c r="L154" s="3">
        <v>12.872</v>
      </c>
    </row>
    <row r="155" spans="1:12" x14ac:dyDescent="0.35">
      <c r="A155" t="s">
        <v>621</v>
      </c>
      <c r="B155" t="s">
        <v>344</v>
      </c>
      <c r="C155" t="s">
        <v>449</v>
      </c>
      <c r="D155" t="s">
        <v>15</v>
      </c>
      <c r="E155" t="s">
        <v>622</v>
      </c>
      <c r="F155" t="s">
        <v>623</v>
      </c>
      <c r="G155" s="2">
        <v>26291</v>
      </c>
      <c r="H155" s="2">
        <v>46168</v>
      </c>
      <c r="I155" t="s">
        <v>258</v>
      </c>
      <c r="J155" t="s">
        <v>144</v>
      </c>
      <c r="K155" s="3">
        <v>50.4114</v>
      </c>
      <c r="L155" s="3">
        <v>14.9032</v>
      </c>
    </row>
    <row r="156" spans="1:12" x14ac:dyDescent="0.35">
      <c r="A156" t="s">
        <v>624</v>
      </c>
      <c r="B156" t="s">
        <v>13</v>
      </c>
      <c r="C156" t="s">
        <v>534</v>
      </c>
      <c r="D156" t="s">
        <v>15</v>
      </c>
      <c r="E156" t="s">
        <v>625</v>
      </c>
      <c r="F156" t="s">
        <v>626</v>
      </c>
      <c r="G156" s="2">
        <v>35293</v>
      </c>
      <c r="H156" s="2">
        <v>46179</v>
      </c>
      <c r="I156" t="s">
        <v>129</v>
      </c>
      <c r="J156" t="s">
        <v>130</v>
      </c>
      <c r="K156" s="3">
        <v>50.231900000000003</v>
      </c>
      <c r="L156" s="3">
        <v>12.872</v>
      </c>
    </row>
    <row r="157" spans="1:12" x14ac:dyDescent="0.35">
      <c r="A157" t="s">
        <v>627</v>
      </c>
      <c r="B157" t="s">
        <v>360</v>
      </c>
      <c r="C157" t="s">
        <v>361</v>
      </c>
      <c r="D157" t="s">
        <v>15</v>
      </c>
      <c r="E157" t="s">
        <v>628</v>
      </c>
      <c r="F157" t="s">
        <v>629</v>
      </c>
      <c r="G157" s="2">
        <v>20350</v>
      </c>
      <c r="H157" s="2">
        <v>46220</v>
      </c>
      <c r="I157" t="s">
        <v>68</v>
      </c>
      <c r="J157" t="s">
        <v>69</v>
      </c>
      <c r="K157" s="3">
        <v>49.593800000000002</v>
      </c>
      <c r="L157" s="3">
        <v>17.250900000000001</v>
      </c>
    </row>
    <row r="158" spans="1:12" x14ac:dyDescent="0.35">
      <c r="A158" t="s">
        <v>630</v>
      </c>
      <c r="B158" t="s">
        <v>193</v>
      </c>
      <c r="C158" t="s">
        <v>534</v>
      </c>
      <c r="D158" t="s">
        <v>15</v>
      </c>
      <c r="E158" t="s">
        <v>631</v>
      </c>
      <c r="F158" t="s">
        <v>632</v>
      </c>
      <c r="G158" s="2">
        <v>26987</v>
      </c>
      <c r="H158" s="2">
        <v>46229</v>
      </c>
      <c r="I158" t="s">
        <v>18</v>
      </c>
      <c r="J158" t="s">
        <v>18</v>
      </c>
      <c r="K158" s="3">
        <v>50.075499999999998</v>
      </c>
      <c r="L158" s="3">
        <v>14.437799999999999</v>
      </c>
    </row>
    <row r="159" spans="1:12" x14ac:dyDescent="0.35">
      <c r="A159" t="s">
        <v>633</v>
      </c>
      <c r="B159" t="s">
        <v>13</v>
      </c>
      <c r="C159" t="s">
        <v>320</v>
      </c>
      <c r="D159" t="s">
        <v>15</v>
      </c>
      <c r="E159" t="s">
        <v>634</v>
      </c>
      <c r="F159" t="s">
        <v>635</v>
      </c>
      <c r="G159" s="2">
        <v>33076</v>
      </c>
      <c r="H159" s="2">
        <v>46247</v>
      </c>
      <c r="I159" t="s">
        <v>18</v>
      </c>
      <c r="J159" t="s">
        <v>18</v>
      </c>
      <c r="K159" s="3">
        <v>50.075499999999998</v>
      </c>
      <c r="L159" s="3">
        <v>14.437799999999999</v>
      </c>
    </row>
    <row r="160" spans="1:12" x14ac:dyDescent="0.35">
      <c r="A160" t="s">
        <v>636</v>
      </c>
      <c r="B160" t="s">
        <v>153</v>
      </c>
      <c r="C160" t="s">
        <v>176</v>
      </c>
      <c r="D160" t="s">
        <v>29</v>
      </c>
      <c r="E160" t="s">
        <v>637</v>
      </c>
      <c r="F160" t="s">
        <v>638</v>
      </c>
      <c r="G160" s="2">
        <v>32548</v>
      </c>
      <c r="H160" s="2">
        <v>46248</v>
      </c>
      <c r="I160" t="s">
        <v>75</v>
      </c>
      <c r="J160" t="s">
        <v>76</v>
      </c>
      <c r="K160" s="3">
        <v>48.974499999999999</v>
      </c>
      <c r="L160" s="3">
        <v>14.474299999999999</v>
      </c>
    </row>
    <row r="161" spans="1:12" x14ac:dyDescent="0.35">
      <c r="A161" t="s">
        <v>639</v>
      </c>
      <c r="B161" t="s">
        <v>282</v>
      </c>
      <c r="C161" t="s">
        <v>180</v>
      </c>
      <c r="D161" t="s">
        <v>29</v>
      </c>
      <c r="E161" t="s">
        <v>640</v>
      </c>
      <c r="F161" t="s">
        <v>641</v>
      </c>
      <c r="G161" s="2">
        <v>37070</v>
      </c>
      <c r="H161" s="2">
        <v>46252</v>
      </c>
      <c r="I161" t="s">
        <v>642</v>
      </c>
      <c r="J161" t="s">
        <v>43</v>
      </c>
      <c r="K161" s="3">
        <v>49.938699999999997</v>
      </c>
      <c r="L161" s="3">
        <v>17.9026</v>
      </c>
    </row>
    <row r="162" spans="1:12" x14ac:dyDescent="0.35">
      <c r="A162" t="s">
        <v>643</v>
      </c>
      <c r="B162" t="s">
        <v>291</v>
      </c>
      <c r="C162" t="s">
        <v>235</v>
      </c>
      <c r="D162" t="s">
        <v>29</v>
      </c>
      <c r="E162" t="s">
        <v>644</v>
      </c>
      <c r="F162" t="s">
        <v>645</v>
      </c>
      <c r="G162" s="2">
        <v>30526</v>
      </c>
      <c r="H162" s="2">
        <v>46275</v>
      </c>
      <c r="I162" t="s">
        <v>18</v>
      </c>
      <c r="J162" t="s">
        <v>18</v>
      </c>
      <c r="K162" s="3">
        <v>50.075499999999998</v>
      </c>
      <c r="L162" s="3">
        <v>14.437799999999999</v>
      </c>
    </row>
    <row r="163" spans="1:12" x14ac:dyDescent="0.35">
      <c r="A163" t="s">
        <v>646</v>
      </c>
      <c r="B163" t="s">
        <v>344</v>
      </c>
      <c r="C163" t="s">
        <v>287</v>
      </c>
      <c r="D163" t="s">
        <v>15</v>
      </c>
      <c r="E163" t="s">
        <v>647</v>
      </c>
      <c r="F163" t="s">
        <v>648</v>
      </c>
      <c r="G163" s="2">
        <v>36856</v>
      </c>
      <c r="H163" s="2">
        <v>46287</v>
      </c>
      <c r="I163" t="s">
        <v>18</v>
      </c>
      <c r="J163" t="s">
        <v>18</v>
      </c>
      <c r="K163" s="3">
        <v>50.075499999999998</v>
      </c>
      <c r="L163" s="3">
        <v>14.437799999999999</v>
      </c>
    </row>
    <row r="164" spans="1:12" x14ac:dyDescent="0.35">
      <c r="A164" t="s">
        <v>649</v>
      </c>
      <c r="B164" t="s">
        <v>356</v>
      </c>
      <c r="C164" t="s">
        <v>650</v>
      </c>
      <c r="D164" t="s">
        <v>29</v>
      </c>
      <c r="E164" t="s">
        <v>651</v>
      </c>
      <c r="F164" t="s">
        <v>652</v>
      </c>
      <c r="G164" s="2">
        <v>36924</v>
      </c>
      <c r="H164" s="2">
        <v>46289</v>
      </c>
      <c r="I164" t="s">
        <v>150</v>
      </c>
      <c r="J164" t="s">
        <v>151</v>
      </c>
      <c r="K164" s="3">
        <v>50.766300000000001</v>
      </c>
      <c r="L164" s="3">
        <v>15.0543</v>
      </c>
    </row>
    <row r="165" spans="1:12" x14ac:dyDescent="0.35">
      <c r="A165" t="s">
        <v>653</v>
      </c>
      <c r="B165" t="s">
        <v>20</v>
      </c>
      <c r="C165" t="s">
        <v>654</v>
      </c>
      <c r="D165" t="s">
        <v>15</v>
      </c>
      <c r="E165" t="s">
        <v>655</v>
      </c>
      <c r="F165" t="s">
        <v>656</v>
      </c>
      <c r="G165" s="2">
        <v>31605</v>
      </c>
      <c r="H165" s="2">
        <v>46307</v>
      </c>
      <c r="I165" t="s">
        <v>42</v>
      </c>
      <c r="J165" t="s">
        <v>43</v>
      </c>
      <c r="K165" s="3">
        <v>49.820900000000002</v>
      </c>
      <c r="L165" s="3">
        <v>18.262499999999999</v>
      </c>
    </row>
  </sheetData>
  <mergeCells count="4">
    <mergeCell ref="D5:D6"/>
    <mergeCell ref="D7:D10"/>
    <mergeCell ref="D16:D18"/>
    <mergeCell ref="D21:D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1071-44BA-4855-BFAD-D057B792DEA5}">
  <dimension ref="C3:C5"/>
  <sheetViews>
    <sheetView workbookViewId="0">
      <selection activeCell="C5" sqref="C5"/>
    </sheetView>
  </sheetViews>
  <sheetFormatPr defaultColWidth="8.90625" defaultRowHeight="16" x14ac:dyDescent="0.4"/>
  <cols>
    <col min="1" max="16384" width="8.90625" style="5"/>
  </cols>
  <sheetData>
    <row r="3" spans="3:3" x14ac:dyDescent="0.4">
      <c r="C3" s="5" t="s">
        <v>659</v>
      </c>
    </row>
    <row r="5" spans="3:3" x14ac:dyDescent="0.4">
      <c r="C5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Zakaznici</vt:lpstr>
      <vt:lpstr>Další list viditelný</vt:lpstr>
      <vt:lpstr>Pavel_Lasák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Lasak</dc:creator>
  <cp:lastModifiedBy>Pavel Lasak</cp:lastModifiedBy>
  <dcterms:created xsi:type="dcterms:W3CDTF">2026-10-20T11:55:44Z</dcterms:created>
  <dcterms:modified xsi:type="dcterms:W3CDTF">2026-10-24T19:51:29Z</dcterms:modified>
</cp:coreProperties>
</file>